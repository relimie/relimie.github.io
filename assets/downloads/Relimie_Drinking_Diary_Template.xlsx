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  <sheet name="Days" sheetId="2" state="visible" r:id="rId2"/>
    <sheet name="Summary" sheetId="3" state="visible" r:id="rId3"/>
    <sheet name="Ex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YYYY-MM-DD (DDD)"/>
  </numFmts>
  <fonts count="5">
    <font>
      <name val="Calibri"/>
      <family val="2"/>
      <color theme="1"/>
      <sz val="11"/>
      <scheme val="minor"/>
    </font>
    <font>
      <b val="1"/>
      <color rgb="002DD4BF"/>
      <sz val="16"/>
    </font>
    <font>
      <i val="1"/>
      <color rgb="0055555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EF2F7"/>
      </patternFill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3" borderId="0" pivotButton="0" quotePrefix="0" xfId="0"/>
    <xf numFmtId="166" fontId="0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1" fontId="0" fillId="4" borderId="0" pivotButton="0" quotePrefix="0" xfId="0"/>
    <xf numFmtId="164" fontId="0" fillId="3" borderId="0" pivotButton="0" quotePrefix="0" xfId="0"/>
    <xf numFmtId="1" fontId="0" fillId="3" borderId="0" pivotButton="0" quotePrefix="0" xfId="0"/>
    <xf numFmtId="49" fontId="0" fillId="3" borderId="0" pivotButton="0" quotePrefix="0" xfId="0"/>
    <xf numFmtId="165" fontId="0" fillId="0" borderId="0" pivotButton="0" quotePrefix="0" xfId="0"/>
    <xf numFmtId="1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8" customWidth="1" min="5" max="5"/>
  </cols>
  <sheetData>
    <row r="1">
      <c r="A1" s="1" t="inlineStr">
        <is>
          <t>Drinking diary</t>
        </is>
      </c>
    </row>
    <row r="2">
      <c r="A2" s="2" t="inlineStr">
        <is>
          <t>One row per drink, with the date on every row. On a day without alcohol, add one row with amount 0 so the day counts as sober.</t>
        </is>
      </c>
    </row>
    <row r="3">
      <c r="A3" s="2" t="inlineStr">
        <is>
          <t>The sheet works out the grams for you: amount × % ABV ÷ 100 × 0.8. Template by relimie.com</t>
        </is>
      </c>
    </row>
    <row r="4" ht="30" customHeight="1">
      <c r="A4" s="3" t="inlineStr">
        <is>
          <t>Date</t>
        </is>
      </c>
      <c r="B4" s="3" t="inlineStr">
        <is>
          <t>Drink</t>
        </is>
      </c>
      <c r="C4" s="3" t="inlineStr">
        <is>
          <t>Amount (ml)</t>
        </is>
      </c>
      <c r="D4" s="3" t="inlineStr">
        <is>
          <t>% ABV</t>
        </is>
      </c>
      <c r="E4" s="3" t="inlineStr">
        <is>
          <t>Grams of alcohol</t>
        </is>
      </c>
    </row>
    <row r="5">
      <c r="A5" s="4" t="n"/>
      <c r="E5" s="5">
        <f>IF(C5="","",IF(C5=0,0,IF(D5="","",ROUND(C5*D5/100*0.8,1))))</f>
        <v/>
      </c>
    </row>
    <row r="6">
      <c r="A6" s="4" t="n"/>
      <c r="E6" s="5">
        <f>IF(C6="","",IF(C6=0,0,IF(D6="","",ROUND(C6*D6/100*0.8,1))))</f>
        <v/>
      </c>
    </row>
    <row r="7">
      <c r="A7" s="4" t="n"/>
      <c r="E7" s="5">
        <f>IF(C7="","",IF(C7=0,0,IF(D7="","",ROUND(C7*D7/100*0.8,1))))</f>
        <v/>
      </c>
    </row>
    <row r="8">
      <c r="A8" s="4" t="n"/>
      <c r="E8" s="5">
        <f>IF(C8="","",IF(C8=0,0,IF(D8="","",ROUND(C8*D8/100*0.8,1))))</f>
        <v/>
      </c>
    </row>
    <row r="9">
      <c r="A9" s="4" t="n"/>
      <c r="E9" s="5">
        <f>IF(C9="","",IF(C9=0,0,IF(D9="","",ROUND(C9*D9/100*0.8,1))))</f>
        <v/>
      </c>
    </row>
    <row r="10">
      <c r="A10" s="4" t="n"/>
      <c r="E10" s="5">
        <f>IF(C10="","",IF(C10=0,0,IF(D10="","",ROUND(C10*D10/100*0.8,1))))</f>
        <v/>
      </c>
    </row>
    <row r="11">
      <c r="A11" s="4" t="n"/>
      <c r="E11" s="5">
        <f>IF(C11="","",IF(C11=0,0,IF(D11="","",ROUND(C11*D11/100*0.8,1))))</f>
        <v/>
      </c>
    </row>
    <row r="12">
      <c r="A12" s="4" t="n"/>
      <c r="E12" s="5">
        <f>IF(C12="","",IF(C12=0,0,IF(D12="","",ROUND(C12*D12/100*0.8,1))))</f>
        <v/>
      </c>
    </row>
    <row r="13">
      <c r="A13" s="4" t="n"/>
      <c r="E13" s="5">
        <f>IF(C13="","",IF(C13=0,0,IF(D13="","",ROUND(C13*D13/100*0.8,1))))</f>
        <v/>
      </c>
    </row>
    <row r="14">
      <c r="A14" s="4" t="n"/>
      <c r="E14" s="5">
        <f>IF(C14="","",IF(C14=0,0,IF(D14="","",ROUND(C14*D14/100*0.8,1))))</f>
        <v/>
      </c>
    </row>
    <row r="15">
      <c r="A15" s="4" t="n"/>
      <c r="E15" s="5">
        <f>IF(C15="","",IF(C15=0,0,IF(D15="","",ROUND(C15*D15/100*0.8,1))))</f>
        <v/>
      </c>
    </row>
    <row r="16">
      <c r="A16" s="4" t="n"/>
      <c r="E16" s="5">
        <f>IF(C16="","",IF(C16=0,0,IF(D16="","",ROUND(C16*D16/100*0.8,1))))</f>
        <v/>
      </c>
    </row>
    <row r="17">
      <c r="A17" s="4" t="n"/>
      <c r="E17" s="5">
        <f>IF(C17="","",IF(C17=0,0,IF(D17="","",ROUND(C17*D17/100*0.8,1))))</f>
        <v/>
      </c>
    </row>
    <row r="18">
      <c r="A18" s="4" t="n"/>
      <c r="E18" s="5">
        <f>IF(C18="","",IF(C18=0,0,IF(D18="","",ROUND(C18*D18/100*0.8,1))))</f>
        <v/>
      </c>
    </row>
    <row r="19">
      <c r="A19" s="4" t="n"/>
      <c r="E19" s="5">
        <f>IF(C19="","",IF(C19=0,0,IF(D19="","",ROUND(C19*D19/100*0.8,1))))</f>
        <v/>
      </c>
    </row>
    <row r="20">
      <c r="A20" s="4" t="n"/>
      <c r="E20" s="5">
        <f>IF(C20="","",IF(C20=0,0,IF(D20="","",ROUND(C20*D20/100*0.8,1))))</f>
        <v/>
      </c>
    </row>
    <row r="21">
      <c r="A21" s="4" t="n"/>
      <c r="E21" s="5">
        <f>IF(C21="","",IF(C21=0,0,IF(D21="","",ROUND(C21*D21/100*0.8,1))))</f>
        <v/>
      </c>
    </row>
    <row r="22">
      <c r="A22" s="4" t="n"/>
      <c r="E22" s="5">
        <f>IF(C22="","",IF(C22=0,0,IF(D22="","",ROUND(C22*D22/100*0.8,1))))</f>
        <v/>
      </c>
    </row>
    <row r="23">
      <c r="A23" s="4" t="n"/>
      <c r="E23" s="5">
        <f>IF(C23="","",IF(C23=0,0,IF(D23="","",ROUND(C23*D23/100*0.8,1))))</f>
        <v/>
      </c>
    </row>
    <row r="24">
      <c r="A24" s="4" t="n"/>
      <c r="E24" s="5">
        <f>IF(C24="","",IF(C24=0,0,IF(D24="","",ROUND(C24*D24/100*0.8,1))))</f>
        <v/>
      </c>
    </row>
    <row r="25">
      <c r="A25" s="4" t="n"/>
      <c r="E25" s="5">
        <f>IF(C25="","",IF(C25=0,0,IF(D25="","",ROUND(C25*D25/100*0.8,1))))</f>
        <v/>
      </c>
    </row>
    <row r="26">
      <c r="A26" s="4" t="n"/>
      <c r="E26" s="5">
        <f>IF(C26="","",IF(C26=0,0,IF(D26="","",ROUND(C26*D26/100*0.8,1))))</f>
        <v/>
      </c>
    </row>
    <row r="27">
      <c r="A27" s="4" t="n"/>
      <c r="E27" s="5">
        <f>IF(C27="","",IF(C27=0,0,IF(D27="","",ROUND(C27*D27/100*0.8,1))))</f>
        <v/>
      </c>
    </row>
    <row r="28">
      <c r="A28" s="4" t="n"/>
      <c r="E28" s="5">
        <f>IF(C28="","",IF(C28=0,0,IF(D28="","",ROUND(C28*D28/100*0.8,1))))</f>
        <v/>
      </c>
    </row>
    <row r="29">
      <c r="A29" s="4" t="n"/>
      <c r="E29" s="5">
        <f>IF(C29="","",IF(C29=0,0,IF(D29="","",ROUND(C29*D29/100*0.8,1))))</f>
        <v/>
      </c>
    </row>
    <row r="30">
      <c r="A30" s="4" t="n"/>
      <c r="E30" s="5">
        <f>IF(C30="","",IF(C30=0,0,IF(D30="","",ROUND(C30*D30/100*0.8,1))))</f>
        <v/>
      </c>
    </row>
    <row r="31">
      <c r="A31" s="4" t="n"/>
      <c r="E31" s="5">
        <f>IF(C31="","",IF(C31=0,0,IF(D31="","",ROUND(C31*D31/100*0.8,1))))</f>
        <v/>
      </c>
    </row>
    <row r="32">
      <c r="A32" s="4" t="n"/>
      <c r="E32" s="5">
        <f>IF(C32="","",IF(C32=0,0,IF(D32="","",ROUND(C32*D32/100*0.8,1))))</f>
        <v/>
      </c>
    </row>
    <row r="33">
      <c r="A33" s="4" t="n"/>
      <c r="E33" s="5">
        <f>IF(C33="","",IF(C33=0,0,IF(D33="","",ROUND(C33*D33/100*0.8,1))))</f>
        <v/>
      </c>
    </row>
    <row r="34">
      <c r="A34" s="4" t="n"/>
      <c r="E34" s="5">
        <f>IF(C34="","",IF(C34=0,0,IF(D34="","",ROUND(C34*D34/100*0.8,1))))</f>
        <v/>
      </c>
    </row>
    <row r="35">
      <c r="A35" s="4" t="n"/>
      <c r="E35" s="5">
        <f>IF(C35="","",IF(C35=0,0,IF(D35="","",ROUND(C35*D35/100*0.8,1))))</f>
        <v/>
      </c>
    </row>
    <row r="36">
      <c r="A36" s="4" t="n"/>
      <c r="E36" s="5">
        <f>IF(C36="","",IF(C36=0,0,IF(D36="","",ROUND(C36*D36/100*0.8,1))))</f>
        <v/>
      </c>
    </row>
    <row r="37">
      <c r="A37" s="4" t="n"/>
      <c r="E37" s="5">
        <f>IF(C37="","",IF(C37=0,0,IF(D37="","",ROUND(C37*D37/100*0.8,1))))</f>
        <v/>
      </c>
    </row>
    <row r="38">
      <c r="A38" s="4" t="n"/>
      <c r="E38" s="5">
        <f>IF(C38="","",IF(C38=0,0,IF(D38="","",ROUND(C38*D38/100*0.8,1))))</f>
        <v/>
      </c>
    </row>
    <row r="39">
      <c r="A39" s="4" t="n"/>
      <c r="E39" s="5">
        <f>IF(C39="","",IF(C39=0,0,IF(D39="","",ROUND(C39*D39/100*0.8,1))))</f>
        <v/>
      </c>
    </row>
    <row r="40">
      <c r="A40" s="4" t="n"/>
      <c r="E40" s="5">
        <f>IF(C40="","",IF(C40=0,0,IF(D40="","",ROUND(C40*D40/100*0.8,1))))</f>
        <v/>
      </c>
    </row>
    <row r="41">
      <c r="A41" s="4" t="n"/>
      <c r="E41" s="5">
        <f>IF(C41="","",IF(C41=0,0,IF(D41="","",ROUND(C41*D41/100*0.8,1))))</f>
        <v/>
      </c>
    </row>
    <row r="42">
      <c r="A42" s="4" t="n"/>
      <c r="E42" s="5">
        <f>IF(C42="","",IF(C42=0,0,IF(D42="","",ROUND(C42*D42/100*0.8,1))))</f>
        <v/>
      </c>
    </row>
    <row r="43">
      <c r="A43" s="4" t="n"/>
      <c r="E43" s="5">
        <f>IF(C43="","",IF(C43=0,0,IF(D43="","",ROUND(C43*D43/100*0.8,1))))</f>
        <v/>
      </c>
    </row>
    <row r="44">
      <c r="A44" s="4" t="n"/>
      <c r="E44" s="5">
        <f>IF(C44="","",IF(C44=0,0,IF(D44="","",ROUND(C44*D44/100*0.8,1))))</f>
        <v/>
      </c>
    </row>
    <row r="45">
      <c r="A45" s="4" t="n"/>
      <c r="E45" s="5">
        <f>IF(C45="","",IF(C45=0,0,IF(D45="","",ROUND(C45*D45/100*0.8,1))))</f>
        <v/>
      </c>
    </row>
    <row r="46">
      <c r="A46" s="4" t="n"/>
      <c r="E46" s="5">
        <f>IF(C46="","",IF(C46=0,0,IF(D46="","",ROUND(C46*D46/100*0.8,1))))</f>
        <v/>
      </c>
    </row>
    <row r="47">
      <c r="A47" s="4" t="n"/>
      <c r="E47" s="5">
        <f>IF(C47="","",IF(C47=0,0,IF(D47="","",ROUND(C47*D47/100*0.8,1))))</f>
        <v/>
      </c>
    </row>
    <row r="48">
      <c r="A48" s="4" t="n"/>
      <c r="E48" s="5">
        <f>IF(C48="","",IF(C48=0,0,IF(D48="","",ROUND(C48*D48/100*0.8,1))))</f>
        <v/>
      </c>
    </row>
    <row r="49">
      <c r="A49" s="4" t="n"/>
      <c r="E49" s="5">
        <f>IF(C49="","",IF(C49=0,0,IF(D49="","",ROUND(C49*D49/100*0.8,1))))</f>
        <v/>
      </c>
    </row>
    <row r="50">
      <c r="A50" s="4" t="n"/>
      <c r="E50" s="5">
        <f>IF(C50="","",IF(C50=0,0,IF(D50="","",ROUND(C50*D50/100*0.8,1))))</f>
        <v/>
      </c>
    </row>
    <row r="51">
      <c r="A51" s="4" t="n"/>
      <c r="E51" s="5">
        <f>IF(C51="","",IF(C51=0,0,IF(D51="","",ROUND(C51*D51/100*0.8,1))))</f>
        <v/>
      </c>
    </row>
    <row r="52">
      <c r="A52" s="4" t="n"/>
      <c r="E52" s="5">
        <f>IF(C52="","",IF(C52=0,0,IF(D52="","",ROUND(C52*D52/100*0.8,1))))</f>
        <v/>
      </c>
    </row>
    <row r="53">
      <c r="A53" s="4" t="n"/>
      <c r="E53" s="5">
        <f>IF(C53="","",IF(C53=0,0,IF(D53="","",ROUND(C53*D53/100*0.8,1))))</f>
        <v/>
      </c>
    </row>
    <row r="54">
      <c r="A54" s="4" t="n"/>
      <c r="E54" s="5">
        <f>IF(C54="","",IF(C54=0,0,IF(D54="","",ROUND(C54*D54/100*0.8,1))))</f>
        <v/>
      </c>
    </row>
    <row r="55">
      <c r="A55" s="4" t="n"/>
      <c r="E55" s="5">
        <f>IF(C55="","",IF(C55=0,0,IF(D55="","",ROUND(C55*D55/100*0.8,1))))</f>
        <v/>
      </c>
    </row>
    <row r="56">
      <c r="A56" s="4" t="n"/>
      <c r="E56" s="5">
        <f>IF(C56="","",IF(C56=0,0,IF(D56="","",ROUND(C56*D56/100*0.8,1))))</f>
        <v/>
      </c>
    </row>
    <row r="57">
      <c r="A57" s="4" t="n"/>
      <c r="E57" s="5">
        <f>IF(C57="","",IF(C57=0,0,IF(D57="","",ROUND(C57*D57/100*0.8,1))))</f>
        <v/>
      </c>
    </row>
    <row r="58">
      <c r="A58" s="4" t="n"/>
      <c r="E58" s="5">
        <f>IF(C58="","",IF(C58=0,0,IF(D58="","",ROUND(C58*D58/100*0.8,1))))</f>
        <v/>
      </c>
    </row>
    <row r="59">
      <c r="A59" s="4" t="n"/>
      <c r="E59" s="5">
        <f>IF(C59="","",IF(C59=0,0,IF(D59="","",ROUND(C59*D59/100*0.8,1))))</f>
        <v/>
      </c>
    </row>
    <row r="60">
      <c r="A60" s="4" t="n"/>
      <c r="E60" s="5">
        <f>IF(C60="","",IF(C60=0,0,IF(D60="","",ROUND(C60*D60/100*0.8,1))))</f>
        <v/>
      </c>
    </row>
    <row r="61">
      <c r="A61" s="4" t="n"/>
      <c r="E61" s="5">
        <f>IF(C61="","",IF(C61=0,0,IF(D61="","",ROUND(C61*D61/100*0.8,1))))</f>
        <v/>
      </c>
    </row>
    <row r="62">
      <c r="A62" s="4" t="n"/>
      <c r="E62" s="5">
        <f>IF(C62="","",IF(C62=0,0,IF(D62="","",ROUND(C62*D62/100*0.8,1))))</f>
        <v/>
      </c>
    </row>
    <row r="63">
      <c r="A63" s="4" t="n"/>
      <c r="E63" s="5">
        <f>IF(C63="","",IF(C63=0,0,IF(D63="","",ROUND(C63*D63/100*0.8,1))))</f>
        <v/>
      </c>
    </row>
    <row r="64">
      <c r="A64" s="4" t="n"/>
      <c r="E64" s="5">
        <f>IF(C64="","",IF(C64=0,0,IF(D64="","",ROUND(C64*D64/100*0.8,1))))</f>
        <v/>
      </c>
    </row>
    <row r="65">
      <c r="A65" s="4" t="n"/>
      <c r="E65" s="5">
        <f>IF(C65="","",IF(C65=0,0,IF(D65="","",ROUND(C65*D65/100*0.8,1))))</f>
        <v/>
      </c>
    </row>
    <row r="66">
      <c r="A66" s="4" t="n"/>
      <c r="E66" s="5">
        <f>IF(C66="","",IF(C66=0,0,IF(D66="","",ROUND(C66*D66/100*0.8,1))))</f>
        <v/>
      </c>
    </row>
    <row r="67">
      <c r="A67" s="4" t="n"/>
      <c r="E67" s="5">
        <f>IF(C67="","",IF(C67=0,0,IF(D67="","",ROUND(C67*D67/100*0.8,1))))</f>
        <v/>
      </c>
    </row>
    <row r="68">
      <c r="A68" s="4" t="n"/>
      <c r="E68" s="5">
        <f>IF(C68="","",IF(C68=0,0,IF(D68="","",ROUND(C68*D68/100*0.8,1))))</f>
        <v/>
      </c>
    </row>
    <row r="69">
      <c r="A69" s="4" t="n"/>
      <c r="E69" s="5">
        <f>IF(C69="","",IF(C69=0,0,IF(D69="","",ROUND(C69*D69/100*0.8,1))))</f>
        <v/>
      </c>
    </row>
    <row r="70">
      <c r="A70" s="4" t="n"/>
      <c r="E70" s="5">
        <f>IF(C70="","",IF(C70=0,0,IF(D70="","",ROUND(C70*D70/100*0.8,1))))</f>
        <v/>
      </c>
    </row>
    <row r="71">
      <c r="A71" s="4" t="n"/>
      <c r="E71" s="5">
        <f>IF(C71="","",IF(C71=0,0,IF(D71="","",ROUND(C71*D71/100*0.8,1))))</f>
        <v/>
      </c>
    </row>
    <row r="72">
      <c r="A72" s="4" t="n"/>
      <c r="E72" s="5">
        <f>IF(C72="","",IF(C72=0,0,IF(D72="","",ROUND(C72*D72/100*0.8,1))))</f>
        <v/>
      </c>
    </row>
    <row r="73">
      <c r="A73" s="4" t="n"/>
      <c r="E73" s="5">
        <f>IF(C73="","",IF(C73=0,0,IF(D73="","",ROUND(C73*D73/100*0.8,1))))</f>
        <v/>
      </c>
    </row>
    <row r="74">
      <c r="A74" s="4" t="n"/>
      <c r="E74" s="5">
        <f>IF(C74="","",IF(C74=0,0,IF(D74="","",ROUND(C74*D74/100*0.8,1))))</f>
        <v/>
      </c>
    </row>
    <row r="75">
      <c r="A75" s="4" t="n"/>
      <c r="E75" s="5">
        <f>IF(C75="","",IF(C75=0,0,IF(D75="","",ROUND(C75*D75/100*0.8,1))))</f>
        <v/>
      </c>
    </row>
    <row r="76">
      <c r="A76" s="4" t="n"/>
      <c r="E76" s="5">
        <f>IF(C76="","",IF(C76=0,0,IF(D76="","",ROUND(C76*D76/100*0.8,1))))</f>
        <v/>
      </c>
    </row>
    <row r="77">
      <c r="A77" s="4" t="n"/>
      <c r="E77" s="5">
        <f>IF(C77="","",IF(C77=0,0,IF(D77="","",ROUND(C77*D77/100*0.8,1))))</f>
        <v/>
      </c>
    </row>
    <row r="78">
      <c r="A78" s="4" t="n"/>
      <c r="E78" s="5">
        <f>IF(C78="","",IF(C78=0,0,IF(D78="","",ROUND(C78*D78/100*0.8,1))))</f>
        <v/>
      </c>
    </row>
    <row r="79">
      <c r="A79" s="4" t="n"/>
      <c r="E79" s="5">
        <f>IF(C79="","",IF(C79=0,0,IF(D79="","",ROUND(C79*D79/100*0.8,1))))</f>
        <v/>
      </c>
    </row>
    <row r="80">
      <c r="A80" s="4" t="n"/>
      <c r="E80" s="5">
        <f>IF(C80="","",IF(C80=0,0,IF(D80="","",ROUND(C80*D80/100*0.8,1))))</f>
        <v/>
      </c>
    </row>
    <row r="81">
      <c r="A81" s="4" t="n"/>
      <c r="E81" s="5">
        <f>IF(C81="","",IF(C81=0,0,IF(D81="","",ROUND(C81*D81/100*0.8,1))))</f>
        <v/>
      </c>
    </row>
    <row r="82">
      <c r="A82" s="4" t="n"/>
      <c r="E82" s="5">
        <f>IF(C82="","",IF(C82=0,0,IF(D82="","",ROUND(C82*D82/100*0.8,1))))</f>
        <v/>
      </c>
    </row>
    <row r="83">
      <c r="A83" s="4" t="n"/>
      <c r="E83" s="5">
        <f>IF(C83="","",IF(C83=0,0,IF(D83="","",ROUND(C83*D83/100*0.8,1))))</f>
        <v/>
      </c>
    </row>
    <row r="84">
      <c r="A84" s="4" t="n"/>
      <c r="E84" s="5">
        <f>IF(C84="","",IF(C84=0,0,IF(D84="","",ROUND(C84*D84/100*0.8,1))))</f>
        <v/>
      </c>
    </row>
    <row r="85">
      <c r="A85" s="4" t="n"/>
      <c r="E85" s="5">
        <f>IF(C85="","",IF(C85=0,0,IF(D85="","",ROUND(C85*D85/100*0.8,1))))</f>
        <v/>
      </c>
    </row>
    <row r="86">
      <c r="A86" s="4" t="n"/>
      <c r="E86" s="5">
        <f>IF(C86="","",IF(C86=0,0,IF(D86="","",ROUND(C86*D86/100*0.8,1))))</f>
        <v/>
      </c>
    </row>
    <row r="87">
      <c r="A87" s="4" t="n"/>
      <c r="E87" s="5">
        <f>IF(C87="","",IF(C87=0,0,IF(D87="","",ROUND(C87*D87/100*0.8,1))))</f>
        <v/>
      </c>
    </row>
    <row r="88">
      <c r="A88" s="4" t="n"/>
      <c r="E88" s="5">
        <f>IF(C88="","",IF(C88=0,0,IF(D88="","",ROUND(C88*D88/100*0.8,1))))</f>
        <v/>
      </c>
    </row>
    <row r="89">
      <c r="A89" s="4" t="n"/>
      <c r="E89" s="5">
        <f>IF(C89="","",IF(C89=0,0,IF(D89="","",ROUND(C89*D89/100*0.8,1))))</f>
        <v/>
      </c>
    </row>
    <row r="90">
      <c r="A90" s="4" t="n"/>
      <c r="E90" s="5">
        <f>IF(C90="","",IF(C90=0,0,IF(D90="","",ROUND(C90*D90/100*0.8,1))))</f>
        <v/>
      </c>
    </row>
    <row r="91">
      <c r="A91" s="4" t="n"/>
      <c r="E91" s="5">
        <f>IF(C91="","",IF(C91=0,0,IF(D91="","",ROUND(C91*D91/100*0.8,1))))</f>
        <v/>
      </c>
    </row>
    <row r="92">
      <c r="A92" s="4" t="n"/>
      <c r="E92" s="5">
        <f>IF(C92="","",IF(C92=0,0,IF(D92="","",ROUND(C92*D92/100*0.8,1))))</f>
        <v/>
      </c>
    </row>
    <row r="93">
      <c r="A93" s="4" t="n"/>
      <c r="E93" s="5">
        <f>IF(C93="","",IF(C93=0,0,IF(D93="","",ROUND(C93*D93/100*0.8,1))))</f>
        <v/>
      </c>
    </row>
    <row r="94">
      <c r="A94" s="4" t="n"/>
      <c r="E94" s="5">
        <f>IF(C94="","",IF(C94=0,0,IF(D94="","",ROUND(C94*D94/100*0.8,1))))</f>
        <v/>
      </c>
    </row>
    <row r="95">
      <c r="A95" s="4" t="n"/>
      <c r="E95" s="5">
        <f>IF(C95="","",IF(C95=0,0,IF(D95="","",ROUND(C95*D95/100*0.8,1))))</f>
        <v/>
      </c>
    </row>
    <row r="96">
      <c r="A96" s="4" t="n"/>
      <c r="E96" s="5">
        <f>IF(C96="","",IF(C96=0,0,IF(D96="","",ROUND(C96*D96/100*0.8,1))))</f>
        <v/>
      </c>
    </row>
    <row r="97">
      <c r="A97" s="4" t="n"/>
      <c r="E97" s="5">
        <f>IF(C97="","",IF(C97=0,0,IF(D97="","",ROUND(C97*D97/100*0.8,1))))</f>
        <v/>
      </c>
    </row>
    <row r="98">
      <c r="A98" s="4" t="n"/>
      <c r="E98" s="5">
        <f>IF(C98="","",IF(C98=0,0,IF(D98="","",ROUND(C98*D98/100*0.8,1))))</f>
        <v/>
      </c>
    </row>
    <row r="99">
      <c r="A99" s="4" t="n"/>
      <c r="E99" s="5">
        <f>IF(C99="","",IF(C99=0,0,IF(D99="","",ROUND(C99*D99/100*0.8,1))))</f>
        <v/>
      </c>
    </row>
    <row r="100">
      <c r="A100" s="4" t="n"/>
      <c r="E100" s="5">
        <f>IF(C100="","",IF(C100=0,0,IF(D100="","",ROUND(C100*D100/100*0.8,1))))</f>
        <v/>
      </c>
    </row>
    <row r="101">
      <c r="A101" s="4" t="n"/>
      <c r="E101" s="5">
        <f>IF(C101="","",IF(C101=0,0,IF(D101="","",ROUND(C101*D101/100*0.8,1))))</f>
        <v/>
      </c>
    </row>
    <row r="102">
      <c r="A102" s="4" t="n"/>
      <c r="E102" s="5">
        <f>IF(C102="","",IF(C102=0,0,IF(D102="","",ROUND(C102*D102/100*0.8,1))))</f>
        <v/>
      </c>
    </row>
    <row r="103">
      <c r="A103" s="4" t="n"/>
      <c r="E103" s="5">
        <f>IF(C103="","",IF(C103=0,0,IF(D103="","",ROUND(C103*D103/100*0.8,1))))</f>
        <v/>
      </c>
    </row>
    <row r="104">
      <c r="A104" s="4" t="n"/>
      <c r="E104" s="5">
        <f>IF(C104="","",IF(C104=0,0,IF(D104="","",ROUND(C104*D104/100*0.8,1))))</f>
        <v/>
      </c>
    </row>
    <row r="105">
      <c r="A105" s="4" t="n"/>
      <c r="E105" s="5">
        <f>IF(C105="","",IF(C105=0,0,IF(D105="","",ROUND(C105*D105/100*0.8,1))))</f>
        <v/>
      </c>
    </row>
    <row r="106">
      <c r="A106" s="4" t="n"/>
      <c r="E106" s="5">
        <f>IF(C106="","",IF(C106=0,0,IF(D106="","",ROUND(C106*D106/100*0.8,1))))</f>
        <v/>
      </c>
    </row>
    <row r="107">
      <c r="A107" s="4" t="n"/>
      <c r="E107" s="5">
        <f>IF(C107="","",IF(C107=0,0,IF(D107="","",ROUND(C107*D107/100*0.8,1))))</f>
        <v/>
      </c>
    </row>
    <row r="108">
      <c r="A108" s="4" t="n"/>
      <c r="E108" s="5">
        <f>IF(C108="","",IF(C108=0,0,IF(D108="","",ROUND(C108*D108/100*0.8,1))))</f>
        <v/>
      </c>
    </row>
    <row r="109">
      <c r="A109" s="4" t="n"/>
      <c r="E109" s="5">
        <f>IF(C109="","",IF(C109=0,0,IF(D109="","",ROUND(C109*D109/100*0.8,1))))</f>
        <v/>
      </c>
    </row>
    <row r="110">
      <c r="A110" s="4" t="n"/>
      <c r="E110" s="5">
        <f>IF(C110="","",IF(C110=0,0,IF(D110="","",ROUND(C110*D110/100*0.8,1))))</f>
        <v/>
      </c>
    </row>
    <row r="111">
      <c r="A111" s="4" t="n"/>
      <c r="E111" s="5">
        <f>IF(C111="","",IF(C111=0,0,IF(D111="","",ROUND(C111*D111/100*0.8,1))))</f>
        <v/>
      </c>
    </row>
    <row r="112">
      <c r="A112" s="4" t="n"/>
      <c r="E112" s="5">
        <f>IF(C112="","",IF(C112=0,0,IF(D112="","",ROUND(C112*D112/100*0.8,1))))</f>
        <v/>
      </c>
    </row>
    <row r="113">
      <c r="A113" s="4" t="n"/>
      <c r="E113" s="5">
        <f>IF(C113="","",IF(C113=0,0,IF(D113="","",ROUND(C113*D113/100*0.8,1))))</f>
        <v/>
      </c>
    </row>
    <row r="114">
      <c r="A114" s="4" t="n"/>
      <c r="E114" s="5">
        <f>IF(C114="","",IF(C114=0,0,IF(D114="","",ROUND(C114*D114/100*0.8,1))))</f>
        <v/>
      </c>
    </row>
    <row r="115">
      <c r="A115" s="4" t="n"/>
      <c r="E115" s="5">
        <f>IF(C115="","",IF(C115=0,0,IF(D115="","",ROUND(C115*D115/100*0.8,1))))</f>
        <v/>
      </c>
    </row>
    <row r="116">
      <c r="A116" s="4" t="n"/>
      <c r="E116" s="5">
        <f>IF(C116="","",IF(C116=0,0,IF(D116="","",ROUND(C116*D116/100*0.8,1))))</f>
        <v/>
      </c>
    </row>
    <row r="117">
      <c r="A117" s="4" t="n"/>
      <c r="E117" s="5">
        <f>IF(C117="","",IF(C117=0,0,IF(D117="","",ROUND(C117*D117/100*0.8,1))))</f>
        <v/>
      </c>
    </row>
    <row r="118">
      <c r="A118" s="4" t="n"/>
      <c r="E118" s="5">
        <f>IF(C118="","",IF(C118=0,0,IF(D118="","",ROUND(C118*D118/100*0.8,1))))</f>
        <v/>
      </c>
    </row>
    <row r="119">
      <c r="A119" s="4" t="n"/>
      <c r="E119" s="5">
        <f>IF(C119="","",IF(C119=0,0,IF(D119="","",ROUND(C119*D119/100*0.8,1))))</f>
        <v/>
      </c>
    </row>
    <row r="120">
      <c r="A120" s="4" t="n"/>
      <c r="E120" s="5">
        <f>IF(C120="","",IF(C120=0,0,IF(D120="","",ROUND(C120*D120/100*0.8,1))))</f>
        <v/>
      </c>
    </row>
    <row r="121">
      <c r="A121" s="4" t="n"/>
      <c r="E121" s="5">
        <f>IF(C121="","",IF(C121=0,0,IF(D121="","",ROUND(C121*D121/100*0.8,1))))</f>
        <v/>
      </c>
    </row>
    <row r="122">
      <c r="A122" s="4" t="n"/>
      <c r="E122" s="5">
        <f>IF(C122="","",IF(C122=0,0,IF(D122="","",ROUND(C122*D122/100*0.8,1))))</f>
        <v/>
      </c>
    </row>
    <row r="123">
      <c r="A123" s="4" t="n"/>
      <c r="E123" s="5">
        <f>IF(C123="","",IF(C123=0,0,IF(D123="","",ROUND(C123*D123/100*0.8,1))))</f>
        <v/>
      </c>
    </row>
    <row r="124">
      <c r="A124" s="4" t="n"/>
      <c r="E124" s="5">
        <f>IF(C124="","",IF(C124=0,0,IF(D124="","",ROUND(C124*D124/100*0.8,1))))</f>
        <v/>
      </c>
    </row>
    <row r="125">
      <c r="A125" s="4" t="n"/>
      <c r="E125" s="5">
        <f>IF(C125="","",IF(C125=0,0,IF(D125="","",ROUND(C125*D125/100*0.8,1))))</f>
        <v/>
      </c>
    </row>
    <row r="126">
      <c r="A126" s="4" t="n"/>
      <c r="E126" s="5">
        <f>IF(C126="","",IF(C126=0,0,IF(D126="","",ROUND(C126*D126/100*0.8,1))))</f>
        <v/>
      </c>
    </row>
    <row r="127">
      <c r="A127" s="4" t="n"/>
      <c r="E127" s="5">
        <f>IF(C127="","",IF(C127=0,0,IF(D127="","",ROUND(C127*D127/100*0.8,1))))</f>
        <v/>
      </c>
    </row>
    <row r="128">
      <c r="A128" s="4" t="n"/>
      <c r="E128" s="5">
        <f>IF(C128="","",IF(C128=0,0,IF(D128="","",ROUND(C128*D128/100*0.8,1))))</f>
        <v/>
      </c>
    </row>
    <row r="129">
      <c r="A129" s="4" t="n"/>
      <c r="E129" s="5">
        <f>IF(C129="","",IF(C129=0,0,IF(D129="","",ROUND(C129*D129/100*0.8,1))))</f>
        <v/>
      </c>
    </row>
    <row r="130">
      <c r="A130" s="4" t="n"/>
      <c r="E130" s="5">
        <f>IF(C130="","",IF(C130=0,0,IF(D130="","",ROUND(C130*D130/100*0.8,1))))</f>
        <v/>
      </c>
    </row>
    <row r="131">
      <c r="A131" s="4" t="n"/>
      <c r="E131" s="5">
        <f>IF(C131="","",IF(C131=0,0,IF(D131="","",ROUND(C131*D131/100*0.8,1))))</f>
        <v/>
      </c>
    </row>
    <row r="132">
      <c r="A132" s="4" t="n"/>
      <c r="E132" s="5">
        <f>IF(C132="","",IF(C132=0,0,IF(D132="","",ROUND(C132*D132/100*0.8,1))))</f>
        <v/>
      </c>
    </row>
    <row r="133">
      <c r="A133" s="4" t="n"/>
      <c r="E133" s="5">
        <f>IF(C133="","",IF(C133=0,0,IF(D133="","",ROUND(C133*D133/100*0.8,1))))</f>
        <v/>
      </c>
    </row>
    <row r="134">
      <c r="A134" s="4" t="n"/>
      <c r="E134" s="5">
        <f>IF(C134="","",IF(C134=0,0,IF(D134="","",ROUND(C134*D134/100*0.8,1))))</f>
        <v/>
      </c>
    </row>
    <row r="135">
      <c r="A135" s="4" t="n"/>
      <c r="E135" s="5">
        <f>IF(C135="","",IF(C135=0,0,IF(D135="","",ROUND(C135*D135/100*0.8,1))))</f>
        <v/>
      </c>
    </row>
    <row r="136">
      <c r="A136" s="4" t="n"/>
      <c r="E136" s="5">
        <f>IF(C136="","",IF(C136=0,0,IF(D136="","",ROUND(C136*D136/100*0.8,1))))</f>
        <v/>
      </c>
    </row>
    <row r="137">
      <c r="A137" s="4" t="n"/>
      <c r="E137" s="5">
        <f>IF(C137="","",IF(C137=0,0,IF(D137="","",ROUND(C137*D137/100*0.8,1))))</f>
        <v/>
      </c>
    </row>
    <row r="138">
      <c r="A138" s="4" t="n"/>
      <c r="E138" s="5">
        <f>IF(C138="","",IF(C138=0,0,IF(D138="","",ROUND(C138*D138/100*0.8,1))))</f>
        <v/>
      </c>
    </row>
    <row r="139">
      <c r="A139" s="4" t="n"/>
      <c r="E139" s="5">
        <f>IF(C139="","",IF(C139=0,0,IF(D139="","",ROUND(C139*D139/100*0.8,1))))</f>
        <v/>
      </c>
    </row>
    <row r="140">
      <c r="A140" s="4" t="n"/>
      <c r="E140" s="5">
        <f>IF(C140="","",IF(C140=0,0,IF(D140="","",ROUND(C140*D140/100*0.8,1))))</f>
        <v/>
      </c>
    </row>
    <row r="141">
      <c r="A141" s="4" t="n"/>
      <c r="E141" s="5">
        <f>IF(C141="","",IF(C141=0,0,IF(D141="","",ROUND(C141*D141/100*0.8,1))))</f>
        <v/>
      </c>
    </row>
    <row r="142">
      <c r="A142" s="4" t="n"/>
      <c r="E142" s="5">
        <f>IF(C142="","",IF(C142=0,0,IF(D142="","",ROUND(C142*D142/100*0.8,1))))</f>
        <v/>
      </c>
    </row>
    <row r="143">
      <c r="A143" s="4" t="n"/>
      <c r="E143" s="5">
        <f>IF(C143="","",IF(C143=0,0,IF(D143="","",ROUND(C143*D143/100*0.8,1))))</f>
        <v/>
      </c>
    </row>
    <row r="144">
      <c r="A144" s="4" t="n"/>
      <c r="E144" s="5">
        <f>IF(C144="","",IF(C144=0,0,IF(D144="","",ROUND(C144*D144/100*0.8,1))))</f>
        <v/>
      </c>
    </row>
    <row r="145">
      <c r="A145" s="4" t="n"/>
      <c r="E145" s="5">
        <f>IF(C145="","",IF(C145=0,0,IF(D145="","",ROUND(C145*D145/100*0.8,1))))</f>
        <v/>
      </c>
    </row>
    <row r="146">
      <c r="A146" s="4" t="n"/>
      <c r="E146" s="5">
        <f>IF(C146="","",IF(C146=0,0,IF(D146="","",ROUND(C146*D146/100*0.8,1))))</f>
        <v/>
      </c>
    </row>
    <row r="147">
      <c r="A147" s="4" t="n"/>
      <c r="E147" s="5">
        <f>IF(C147="","",IF(C147=0,0,IF(D147="","",ROUND(C147*D147/100*0.8,1))))</f>
        <v/>
      </c>
    </row>
    <row r="148">
      <c r="A148" s="4" t="n"/>
      <c r="E148" s="5">
        <f>IF(C148="","",IF(C148=0,0,IF(D148="","",ROUND(C148*D148/100*0.8,1))))</f>
        <v/>
      </c>
    </row>
    <row r="149">
      <c r="A149" s="4" t="n"/>
      <c r="E149" s="5">
        <f>IF(C149="","",IF(C149=0,0,IF(D149="","",ROUND(C149*D149/100*0.8,1))))</f>
        <v/>
      </c>
    </row>
    <row r="150">
      <c r="A150" s="4" t="n"/>
      <c r="E150" s="5">
        <f>IF(C150="","",IF(C150=0,0,IF(D150="","",ROUND(C150*D150/100*0.8,1))))</f>
        <v/>
      </c>
    </row>
    <row r="151">
      <c r="A151" s="4" t="n"/>
      <c r="E151" s="5">
        <f>IF(C151="","",IF(C151=0,0,IF(D151="","",ROUND(C151*D151/100*0.8,1))))</f>
        <v/>
      </c>
    </row>
    <row r="152">
      <c r="A152" s="4" t="n"/>
      <c r="E152" s="5">
        <f>IF(C152="","",IF(C152=0,0,IF(D152="","",ROUND(C152*D152/100*0.8,1))))</f>
        <v/>
      </c>
    </row>
    <row r="153">
      <c r="A153" s="4" t="n"/>
      <c r="E153" s="5">
        <f>IF(C153="","",IF(C153=0,0,IF(D153="","",ROUND(C153*D153/100*0.8,1))))</f>
        <v/>
      </c>
    </row>
    <row r="154">
      <c r="A154" s="4" t="n"/>
      <c r="E154" s="5">
        <f>IF(C154="","",IF(C154=0,0,IF(D154="","",ROUND(C154*D154/100*0.8,1))))</f>
        <v/>
      </c>
    </row>
    <row r="155">
      <c r="A155" s="4" t="n"/>
      <c r="E155" s="5">
        <f>IF(C155="","",IF(C155=0,0,IF(D155="","",ROUND(C155*D155/100*0.8,1))))</f>
        <v/>
      </c>
    </row>
    <row r="156">
      <c r="A156" s="4" t="n"/>
      <c r="E156" s="5">
        <f>IF(C156="","",IF(C156=0,0,IF(D156="","",ROUND(C156*D156/100*0.8,1))))</f>
        <v/>
      </c>
    </row>
    <row r="157">
      <c r="A157" s="4" t="n"/>
      <c r="E157" s="5">
        <f>IF(C157="","",IF(C157=0,0,IF(D157="","",ROUND(C157*D157/100*0.8,1))))</f>
        <v/>
      </c>
    </row>
    <row r="158">
      <c r="A158" s="4" t="n"/>
      <c r="E158" s="5">
        <f>IF(C158="","",IF(C158=0,0,IF(D158="","",ROUND(C158*D158/100*0.8,1))))</f>
        <v/>
      </c>
    </row>
    <row r="159">
      <c r="A159" s="4" t="n"/>
      <c r="E159" s="5">
        <f>IF(C159="","",IF(C159=0,0,IF(D159="","",ROUND(C159*D159/100*0.8,1))))</f>
        <v/>
      </c>
    </row>
    <row r="160">
      <c r="A160" s="4" t="n"/>
      <c r="E160" s="5">
        <f>IF(C160="","",IF(C160=0,0,IF(D160="","",ROUND(C160*D160/100*0.8,1))))</f>
        <v/>
      </c>
    </row>
    <row r="161">
      <c r="A161" s="4" t="n"/>
      <c r="E161" s="5">
        <f>IF(C161="","",IF(C161=0,0,IF(D161="","",ROUND(C161*D161/100*0.8,1))))</f>
        <v/>
      </c>
    </row>
    <row r="162">
      <c r="A162" s="4" t="n"/>
      <c r="E162" s="5">
        <f>IF(C162="","",IF(C162=0,0,IF(D162="","",ROUND(C162*D162/100*0.8,1))))</f>
        <v/>
      </c>
    </row>
    <row r="163">
      <c r="A163" s="4" t="n"/>
      <c r="E163" s="5">
        <f>IF(C163="","",IF(C163=0,0,IF(D163="","",ROUND(C163*D163/100*0.8,1))))</f>
        <v/>
      </c>
    </row>
    <row r="164">
      <c r="A164" s="4" t="n"/>
      <c r="E164" s="5">
        <f>IF(C164="","",IF(C164=0,0,IF(D164="","",ROUND(C164*D164/100*0.8,1))))</f>
        <v/>
      </c>
    </row>
    <row r="165">
      <c r="A165" s="4" t="n"/>
      <c r="E165" s="5">
        <f>IF(C165="","",IF(C165=0,0,IF(D165="","",ROUND(C165*D165/100*0.8,1))))</f>
        <v/>
      </c>
    </row>
    <row r="166">
      <c r="A166" s="4" t="n"/>
      <c r="E166" s="5">
        <f>IF(C166="","",IF(C166=0,0,IF(D166="","",ROUND(C166*D166/100*0.8,1))))</f>
        <v/>
      </c>
    </row>
    <row r="167">
      <c r="A167" s="4" t="n"/>
      <c r="E167" s="5">
        <f>IF(C167="","",IF(C167=0,0,IF(D167="","",ROUND(C167*D167/100*0.8,1))))</f>
        <v/>
      </c>
    </row>
    <row r="168">
      <c r="A168" s="4" t="n"/>
      <c r="E168" s="5">
        <f>IF(C168="","",IF(C168=0,0,IF(D168="","",ROUND(C168*D168/100*0.8,1))))</f>
        <v/>
      </c>
    </row>
    <row r="169">
      <c r="A169" s="4" t="n"/>
      <c r="E169" s="5">
        <f>IF(C169="","",IF(C169=0,0,IF(D169="","",ROUND(C169*D169/100*0.8,1))))</f>
        <v/>
      </c>
    </row>
    <row r="170">
      <c r="A170" s="4" t="n"/>
      <c r="E170" s="5">
        <f>IF(C170="","",IF(C170=0,0,IF(D170="","",ROUND(C170*D170/100*0.8,1))))</f>
        <v/>
      </c>
    </row>
    <row r="171">
      <c r="A171" s="4" t="n"/>
      <c r="E171" s="5">
        <f>IF(C171="","",IF(C171=0,0,IF(D171="","",ROUND(C171*D171/100*0.8,1))))</f>
        <v/>
      </c>
    </row>
    <row r="172">
      <c r="A172" s="4" t="n"/>
      <c r="E172" s="5">
        <f>IF(C172="","",IF(C172=0,0,IF(D172="","",ROUND(C172*D172/100*0.8,1))))</f>
        <v/>
      </c>
    </row>
    <row r="173">
      <c r="A173" s="4" t="n"/>
      <c r="E173" s="5">
        <f>IF(C173="","",IF(C173=0,0,IF(D173="","",ROUND(C173*D173/100*0.8,1))))</f>
        <v/>
      </c>
    </row>
    <row r="174">
      <c r="A174" s="4" t="n"/>
      <c r="E174" s="5">
        <f>IF(C174="","",IF(C174=0,0,IF(D174="","",ROUND(C174*D174/100*0.8,1))))</f>
        <v/>
      </c>
    </row>
    <row r="175">
      <c r="A175" s="4" t="n"/>
      <c r="E175" s="5">
        <f>IF(C175="","",IF(C175=0,0,IF(D175="","",ROUND(C175*D175/100*0.8,1))))</f>
        <v/>
      </c>
    </row>
    <row r="176">
      <c r="A176" s="4" t="n"/>
      <c r="E176" s="5">
        <f>IF(C176="","",IF(C176=0,0,IF(D176="","",ROUND(C176*D176/100*0.8,1))))</f>
        <v/>
      </c>
    </row>
    <row r="177">
      <c r="A177" s="4" t="n"/>
      <c r="E177" s="5">
        <f>IF(C177="","",IF(C177=0,0,IF(D177="","",ROUND(C177*D177/100*0.8,1))))</f>
        <v/>
      </c>
    </row>
    <row r="178">
      <c r="A178" s="4" t="n"/>
      <c r="E178" s="5">
        <f>IF(C178="","",IF(C178=0,0,IF(D178="","",ROUND(C178*D178/100*0.8,1))))</f>
        <v/>
      </c>
    </row>
    <row r="179">
      <c r="A179" s="4" t="n"/>
      <c r="E179" s="5">
        <f>IF(C179="","",IF(C179=0,0,IF(D179="","",ROUND(C179*D179/100*0.8,1))))</f>
        <v/>
      </c>
    </row>
    <row r="180">
      <c r="A180" s="4" t="n"/>
      <c r="E180" s="5">
        <f>IF(C180="","",IF(C180=0,0,IF(D180="","",ROUND(C180*D180/100*0.8,1))))</f>
        <v/>
      </c>
    </row>
    <row r="181">
      <c r="A181" s="4" t="n"/>
      <c r="E181" s="5">
        <f>IF(C181="","",IF(C181=0,0,IF(D181="","",ROUND(C181*D181/100*0.8,1))))</f>
        <v/>
      </c>
    </row>
    <row r="182">
      <c r="A182" s="4" t="n"/>
      <c r="E182" s="5">
        <f>IF(C182="","",IF(C182=0,0,IF(D182="","",ROUND(C182*D182/100*0.8,1))))</f>
        <v/>
      </c>
    </row>
    <row r="183">
      <c r="A183" s="4" t="n"/>
      <c r="E183" s="5">
        <f>IF(C183="","",IF(C183=0,0,IF(D183="","",ROUND(C183*D183/100*0.8,1))))</f>
        <v/>
      </c>
    </row>
    <row r="184">
      <c r="A184" s="4" t="n"/>
      <c r="E184" s="5">
        <f>IF(C184="","",IF(C184=0,0,IF(D184="","",ROUND(C184*D184/100*0.8,1))))</f>
        <v/>
      </c>
    </row>
    <row r="185">
      <c r="A185" s="4" t="n"/>
      <c r="E185" s="5">
        <f>IF(C185="","",IF(C185=0,0,IF(D185="","",ROUND(C185*D185/100*0.8,1))))</f>
        <v/>
      </c>
    </row>
    <row r="186">
      <c r="A186" s="4" t="n"/>
      <c r="E186" s="5">
        <f>IF(C186="","",IF(C186=0,0,IF(D186="","",ROUND(C186*D186/100*0.8,1))))</f>
        <v/>
      </c>
    </row>
    <row r="187">
      <c r="A187" s="4" t="n"/>
      <c r="E187" s="5">
        <f>IF(C187="","",IF(C187=0,0,IF(D187="","",ROUND(C187*D187/100*0.8,1))))</f>
        <v/>
      </c>
    </row>
    <row r="188">
      <c r="A188" s="4" t="n"/>
      <c r="E188" s="5">
        <f>IF(C188="","",IF(C188=0,0,IF(D188="","",ROUND(C188*D188/100*0.8,1))))</f>
        <v/>
      </c>
    </row>
    <row r="189">
      <c r="A189" s="4" t="n"/>
      <c r="E189" s="5">
        <f>IF(C189="","",IF(C189=0,0,IF(D189="","",ROUND(C189*D189/100*0.8,1))))</f>
        <v/>
      </c>
    </row>
    <row r="190">
      <c r="A190" s="4" t="n"/>
      <c r="E190" s="5">
        <f>IF(C190="","",IF(C190=0,0,IF(D190="","",ROUND(C190*D190/100*0.8,1))))</f>
        <v/>
      </c>
    </row>
    <row r="191">
      <c r="A191" s="4" t="n"/>
      <c r="E191" s="5">
        <f>IF(C191="","",IF(C191=0,0,IF(D191="","",ROUND(C191*D191/100*0.8,1))))</f>
        <v/>
      </c>
    </row>
    <row r="192">
      <c r="A192" s="4" t="n"/>
      <c r="E192" s="5">
        <f>IF(C192="","",IF(C192=0,0,IF(D192="","",ROUND(C192*D192/100*0.8,1))))</f>
        <v/>
      </c>
    </row>
    <row r="193">
      <c r="A193" s="4" t="n"/>
      <c r="E193" s="5">
        <f>IF(C193="","",IF(C193=0,0,IF(D193="","",ROUND(C193*D193/100*0.8,1))))</f>
        <v/>
      </c>
    </row>
    <row r="194">
      <c r="A194" s="4" t="n"/>
      <c r="E194" s="5">
        <f>IF(C194="","",IF(C194=0,0,IF(D194="","",ROUND(C194*D194/100*0.8,1))))</f>
        <v/>
      </c>
    </row>
    <row r="195">
      <c r="A195" s="4" t="n"/>
      <c r="E195" s="5">
        <f>IF(C195="","",IF(C195=0,0,IF(D195="","",ROUND(C195*D195/100*0.8,1))))</f>
        <v/>
      </c>
    </row>
    <row r="196">
      <c r="A196" s="4" t="n"/>
      <c r="E196" s="5">
        <f>IF(C196="","",IF(C196=0,0,IF(D196="","",ROUND(C196*D196/100*0.8,1))))</f>
        <v/>
      </c>
    </row>
    <row r="197">
      <c r="A197" s="4" t="n"/>
      <c r="E197" s="5">
        <f>IF(C197="","",IF(C197=0,0,IF(D197="","",ROUND(C197*D197/100*0.8,1))))</f>
        <v/>
      </c>
    </row>
    <row r="198">
      <c r="A198" s="4" t="n"/>
      <c r="E198" s="5">
        <f>IF(C198="","",IF(C198=0,0,IF(D198="","",ROUND(C198*D198/100*0.8,1))))</f>
        <v/>
      </c>
    </row>
    <row r="199">
      <c r="A199" s="4" t="n"/>
      <c r="E199" s="5">
        <f>IF(C199="","",IF(C199=0,0,IF(D199="","",ROUND(C199*D199/100*0.8,1))))</f>
        <v/>
      </c>
    </row>
    <row r="200">
      <c r="A200" s="4" t="n"/>
      <c r="E200" s="5">
        <f>IF(C200="","",IF(C200=0,0,IF(D200="","",ROUND(C200*D200/100*0.8,1))))</f>
        <v/>
      </c>
    </row>
    <row r="201">
      <c r="A201" s="4" t="n"/>
      <c r="E201" s="5">
        <f>IF(C201="","",IF(C201=0,0,IF(D201="","",ROUND(C201*D201/100*0.8,1))))</f>
        <v/>
      </c>
    </row>
    <row r="202">
      <c r="A202" s="4" t="n"/>
      <c r="E202" s="5">
        <f>IF(C202="","",IF(C202=0,0,IF(D202="","",ROUND(C202*D202/100*0.8,1))))</f>
        <v/>
      </c>
    </row>
    <row r="203">
      <c r="A203" s="4" t="n"/>
      <c r="E203" s="5">
        <f>IF(C203="","",IF(C203=0,0,IF(D203="","",ROUND(C203*D203/100*0.8,1))))</f>
        <v/>
      </c>
    </row>
    <row r="204">
      <c r="A204" s="4" t="n"/>
      <c r="E204" s="5">
        <f>IF(C204="","",IF(C204=0,0,IF(D204="","",ROUND(C204*D204/100*0.8,1))))</f>
        <v/>
      </c>
    </row>
    <row r="205">
      <c r="A205" s="4" t="n"/>
      <c r="E205" s="5">
        <f>IF(C205="","",IF(C205=0,0,IF(D205="","",ROUND(C205*D205/100*0.8,1))))</f>
        <v/>
      </c>
    </row>
    <row r="206">
      <c r="A206" s="4" t="n"/>
      <c r="E206" s="5">
        <f>IF(C206="","",IF(C206=0,0,IF(D206="","",ROUND(C206*D206/100*0.8,1))))</f>
        <v/>
      </c>
    </row>
    <row r="207">
      <c r="A207" s="4" t="n"/>
      <c r="E207" s="5">
        <f>IF(C207="","",IF(C207=0,0,IF(D207="","",ROUND(C207*D207/100*0.8,1))))</f>
        <v/>
      </c>
    </row>
    <row r="208">
      <c r="A208" s="4" t="n"/>
      <c r="E208" s="5">
        <f>IF(C208="","",IF(C208=0,0,IF(D208="","",ROUND(C208*D208/100*0.8,1))))</f>
        <v/>
      </c>
    </row>
    <row r="209">
      <c r="A209" s="4" t="n"/>
      <c r="E209" s="5">
        <f>IF(C209="","",IF(C209=0,0,IF(D209="","",ROUND(C209*D209/100*0.8,1))))</f>
        <v/>
      </c>
    </row>
    <row r="210">
      <c r="A210" s="4" t="n"/>
      <c r="E210" s="5">
        <f>IF(C210="","",IF(C210=0,0,IF(D210="","",ROUND(C210*D210/100*0.8,1))))</f>
        <v/>
      </c>
    </row>
    <row r="211">
      <c r="A211" s="4" t="n"/>
      <c r="E211" s="5">
        <f>IF(C211="","",IF(C211=0,0,IF(D211="","",ROUND(C211*D211/100*0.8,1))))</f>
        <v/>
      </c>
    </row>
    <row r="212">
      <c r="A212" s="4" t="n"/>
      <c r="E212" s="5">
        <f>IF(C212="","",IF(C212=0,0,IF(D212="","",ROUND(C212*D212/100*0.8,1))))</f>
        <v/>
      </c>
    </row>
    <row r="213">
      <c r="A213" s="4" t="n"/>
      <c r="E213" s="5">
        <f>IF(C213="","",IF(C213=0,0,IF(D213="","",ROUND(C213*D213/100*0.8,1))))</f>
        <v/>
      </c>
    </row>
    <row r="214">
      <c r="A214" s="4" t="n"/>
      <c r="E214" s="5">
        <f>IF(C214="","",IF(C214=0,0,IF(D214="","",ROUND(C214*D214/100*0.8,1))))</f>
        <v/>
      </c>
    </row>
    <row r="215">
      <c r="A215" s="4" t="n"/>
      <c r="E215" s="5">
        <f>IF(C215="","",IF(C215=0,0,IF(D215="","",ROUND(C215*D215/100*0.8,1))))</f>
        <v/>
      </c>
    </row>
    <row r="216">
      <c r="A216" s="4" t="n"/>
      <c r="E216" s="5">
        <f>IF(C216="","",IF(C216=0,0,IF(D216="","",ROUND(C216*D216/100*0.8,1))))</f>
        <v/>
      </c>
    </row>
    <row r="217">
      <c r="A217" s="4" t="n"/>
      <c r="E217" s="5">
        <f>IF(C217="","",IF(C217=0,0,IF(D217="","",ROUND(C217*D217/100*0.8,1))))</f>
        <v/>
      </c>
    </row>
    <row r="218">
      <c r="A218" s="4" t="n"/>
      <c r="E218" s="5">
        <f>IF(C218="","",IF(C218=0,0,IF(D218="","",ROUND(C218*D218/100*0.8,1))))</f>
        <v/>
      </c>
    </row>
    <row r="219">
      <c r="A219" s="4" t="n"/>
      <c r="E219" s="5">
        <f>IF(C219="","",IF(C219=0,0,IF(D219="","",ROUND(C219*D219/100*0.8,1))))</f>
        <v/>
      </c>
    </row>
    <row r="220">
      <c r="A220" s="4" t="n"/>
      <c r="E220" s="5">
        <f>IF(C220="","",IF(C220=0,0,IF(D220="","",ROUND(C220*D220/100*0.8,1))))</f>
        <v/>
      </c>
    </row>
    <row r="221">
      <c r="A221" s="4" t="n"/>
      <c r="E221" s="5">
        <f>IF(C221="","",IF(C221=0,0,IF(D221="","",ROUND(C221*D221/100*0.8,1))))</f>
        <v/>
      </c>
    </row>
    <row r="222">
      <c r="A222" s="4" t="n"/>
      <c r="E222" s="5">
        <f>IF(C222="","",IF(C222=0,0,IF(D222="","",ROUND(C222*D222/100*0.8,1))))</f>
        <v/>
      </c>
    </row>
    <row r="223">
      <c r="A223" s="4" t="n"/>
      <c r="E223" s="5">
        <f>IF(C223="","",IF(C223=0,0,IF(D223="","",ROUND(C223*D223/100*0.8,1))))</f>
        <v/>
      </c>
    </row>
    <row r="224">
      <c r="A224" s="4" t="n"/>
      <c r="E224" s="5">
        <f>IF(C224="","",IF(C224=0,0,IF(D224="","",ROUND(C224*D224/100*0.8,1))))</f>
        <v/>
      </c>
    </row>
    <row r="225">
      <c r="A225" s="4" t="n"/>
      <c r="E225" s="5">
        <f>IF(C225="","",IF(C225=0,0,IF(D225="","",ROUND(C225*D225/100*0.8,1))))</f>
        <v/>
      </c>
    </row>
    <row r="226">
      <c r="A226" s="4" t="n"/>
      <c r="E226" s="5">
        <f>IF(C226="","",IF(C226=0,0,IF(D226="","",ROUND(C226*D226/100*0.8,1))))</f>
        <v/>
      </c>
    </row>
    <row r="227">
      <c r="A227" s="4" t="n"/>
      <c r="E227" s="5">
        <f>IF(C227="","",IF(C227=0,0,IF(D227="","",ROUND(C227*D227/100*0.8,1))))</f>
        <v/>
      </c>
    </row>
    <row r="228">
      <c r="A228" s="4" t="n"/>
      <c r="E228" s="5">
        <f>IF(C228="","",IF(C228=0,0,IF(D228="","",ROUND(C228*D228/100*0.8,1))))</f>
        <v/>
      </c>
    </row>
    <row r="229">
      <c r="A229" s="4" t="n"/>
      <c r="E229" s="5">
        <f>IF(C229="","",IF(C229=0,0,IF(D229="","",ROUND(C229*D229/100*0.8,1))))</f>
        <v/>
      </c>
    </row>
    <row r="230">
      <c r="A230" s="4" t="n"/>
      <c r="E230" s="5">
        <f>IF(C230="","",IF(C230=0,0,IF(D230="","",ROUND(C230*D230/100*0.8,1))))</f>
        <v/>
      </c>
    </row>
    <row r="231">
      <c r="A231" s="4" t="n"/>
      <c r="E231" s="5">
        <f>IF(C231="","",IF(C231=0,0,IF(D231="","",ROUND(C231*D231/100*0.8,1))))</f>
        <v/>
      </c>
    </row>
    <row r="232">
      <c r="A232" s="4" t="n"/>
      <c r="E232" s="5">
        <f>IF(C232="","",IF(C232=0,0,IF(D232="","",ROUND(C232*D232/100*0.8,1))))</f>
        <v/>
      </c>
    </row>
    <row r="233">
      <c r="A233" s="4" t="n"/>
      <c r="E233" s="5">
        <f>IF(C233="","",IF(C233=0,0,IF(D233="","",ROUND(C233*D233/100*0.8,1))))</f>
        <v/>
      </c>
    </row>
    <row r="234">
      <c r="A234" s="4" t="n"/>
      <c r="E234" s="5">
        <f>IF(C234="","",IF(C234=0,0,IF(D234="","",ROUND(C234*D234/100*0.8,1))))</f>
        <v/>
      </c>
    </row>
    <row r="235">
      <c r="A235" s="4" t="n"/>
      <c r="E235" s="5">
        <f>IF(C235="","",IF(C235=0,0,IF(D235="","",ROUND(C235*D235/100*0.8,1))))</f>
        <v/>
      </c>
    </row>
    <row r="236">
      <c r="A236" s="4" t="n"/>
      <c r="E236" s="5">
        <f>IF(C236="","",IF(C236=0,0,IF(D236="","",ROUND(C236*D236/100*0.8,1))))</f>
        <v/>
      </c>
    </row>
    <row r="237">
      <c r="A237" s="4" t="n"/>
      <c r="E237" s="5">
        <f>IF(C237="","",IF(C237=0,0,IF(D237="","",ROUND(C237*D237/100*0.8,1))))</f>
        <v/>
      </c>
    </row>
    <row r="238">
      <c r="A238" s="4" t="n"/>
      <c r="E238" s="5">
        <f>IF(C238="","",IF(C238=0,0,IF(D238="","",ROUND(C238*D238/100*0.8,1))))</f>
        <v/>
      </c>
    </row>
    <row r="239">
      <c r="A239" s="4" t="n"/>
      <c r="E239" s="5">
        <f>IF(C239="","",IF(C239=0,0,IF(D239="","",ROUND(C239*D239/100*0.8,1))))</f>
        <v/>
      </c>
    </row>
    <row r="240">
      <c r="A240" s="4" t="n"/>
      <c r="E240" s="5">
        <f>IF(C240="","",IF(C240=0,0,IF(D240="","",ROUND(C240*D240/100*0.8,1))))</f>
        <v/>
      </c>
    </row>
    <row r="241">
      <c r="A241" s="4" t="n"/>
      <c r="E241" s="5">
        <f>IF(C241="","",IF(C241=0,0,IF(D241="","",ROUND(C241*D241/100*0.8,1))))</f>
        <v/>
      </c>
    </row>
    <row r="242">
      <c r="A242" s="4" t="n"/>
      <c r="E242" s="5">
        <f>IF(C242="","",IF(C242=0,0,IF(D242="","",ROUND(C242*D242/100*0.8,1))))</f>
        <v/>
      </c>
    </row>
    <row r="243">
      <c r="A243" s="4" t="n"/>
      <c r="E243" s="5">
        <f>IF(C243="","",IF(C243=0,0,IF(D243="","",ROUND(C243*D243/100*0.8,1))))</f>
        <v/>
      </c>
    </row>
    <row r="244">
      <c r="A244" s="4" t="n"/>
      <c r="E244" s="5">
        <f>IF(C244="","",IF(C244=0,0,IF(D244="","",ROUND(C244*D244/100*0.8,1))))</f>
        <v/>
      </c>
    </row>
    <row r="245">
      <c r="A245" s="4" t="n"/>
      <c r="E245" s="5">
        <f>IF(C245="","",IF(C245=0,0,IF(D245="","",ROUND(C245*D245/100*0.8,1))))</f>
        <v/>
      </c>
    </row>
    <row r="246">
      <c r="A246" s="4" t="n"/>
      <c r="E246" s="5">
        <f>IF(C246="","",IF(C246=0,0,IF(D246="","",ROUND(C246*D246/100*0.8,1))))</f>
        <v/>
      </c>
    </row>
    <row r="247">
      <c r="A247" s="4" t="n"/>
      <c r="E247" s="5">
        <f>IF(C247="","",IF(C247=0,0,IF(D247="","",ROUND(C247*D247/100*0.8,1))))</f>
        <v/>
      </c>
    </row>
    <row r="248">
      <c r="A248" s="4" t="n"/>
      <c r="E248" s="5">
        <f>IF(C248="","",IF(C248=0,0,IF(D248="","",ROUND(C248*D248/100*0.8,1))))</f>
        <v/>
      </c>
    </row>
    <row r="249">
      <c r="A249" s="4" t="n"/>
      <c r="E249" s="5">
        <f>IF(C249="","",IF(C249=0,0,IF(D249="","",ROUND(C249*D249/100*0.8,1))))</f>
        <v/>
      </c>
    </row>
    <row r="250">
      <c r="A250" s="4" t="n"/>
      <c r="E250" s="5">
        <f>IF(C250="","",IF(C250=0,0,IF(D250="","",ROUND(C250*D250/100*0.8,1))))</f>
        <v/>
      </c>
    </row>
    <row r="251">
      <c r="A251" s="4" t="n"/>
      <c r="E251" s="5">
        <f>IF(C251="","",IF(C251=0,0,IF(D251="","",ROUND(C251*D251/100*0.8,1))))</f>
        <v/>
      </c>
    </row>
    <row r="252">
      <c r="A252" s="4" t="n"/>
      <c r="E252" s="5">
        <f>IF(C252="","",IF(C252=0,0,IF(D252="","",ROUND(C252*D252/100*0.8,1))))</f>
        <v/>
      </c>
    </row>
    <row r="253">
      <c r="A253" s="4" t="n"/>
      <c r="E253" s="5">
        <f>IF(C253="","",IF(C253=0,0,IF(D253="","",ROUND(C253*D253/100*0.8,1))))</f>
        <v/>
      </c>
    </row>
    <row r="254">
      <c r="A254" s="4" t="n"/>
      <c r="E254" s="5">
        <f>IF(C254="","",IF(C254=0,0,IF(D254="","",ROUND(C254*D254/100*0.8,1))))</f>
        <v/>
      </c>
    </row>
    <row r="255">
      <c r="A255" s="4" t="n"/>
      <c r="E255" s="5">
        <f>IF(C255="","",IF(C255=0,0,IF(D255="","",ROUND(C255*D255/100*0.8,1))))</f>
        <v/>
      </c>
    </row>
    <row r="256">
      <c r="A256" s="4" t="n"/>
      <c r="E256" s="5">
        <f>IF(C256="","",IF(C256=0,0,IF(D256="","",ROUND(C256*D256/100*0.8,1))))</f>
        <v/>
      </c>
    </row>
    <row r="257">
      <c r="A257" s="4" t="n"/>
      <c r="E257" s="5">
        <f>IF(C257="","",IF(C257=0,0,IF(D257="","",ROUND(C257*D257/100*0.8,1))))</f>
        <v/>
      </c>
    </row>
    <row r="258">
      <c r="A258" s="4" t="n"/>
      <c r="E258" s="5">
        <f>IF(C258="","",IF(C258=0,0,IF(D258="","",ROUND(C258*D258/100*0.8,1))))</f>
        <v/>
      </c>
    </row>
    <row r="259">
      <c r="A259" s="4" t="n"/>
      <c r="E259" s="5">
        <f>IF(C259="","",IF(C259=0,0,IF(D259="","",ROUND(C259*D259/100*0.8,1))))</f>
        <v/>
      </c>
    </row>
    <row r="260">
      <c r="A260" s="4" t="n"/>
      <c r="E260" s="5">
        <f>IF(C260="","",IF(C260=0,0,IF(D260="","",ROUND(C260*D260/100*0.8,1))))</f>
        <v/>
      </c>
    </row>
    <row r="261">
      <c r="A261" s="4" t="n"/>
      <c r="E261" s="5">
        <f>IF(C261="","",IF(C261=0,0,IF(D261="","",ROUND(C261*D261/100*0.8,1))))</f>
        <v/>
      </c>
    </row>
    <row r="262">
      <c r="A262" s="4" t="n"/>
      <c r="E262" s="5">
        <f>IF(C262="","",IF(C262=0,0,IF(D262="","",ROUND(C262*D262/100*0.8,1))))</f>
        <v/>
      </c>
    </row>
    <row r="263">
      <c r="A263" s="4" t="n"/>
      <c r="E263" s="5">
        <f>IF(C263="","",IF(C263=0,0,IF(D263="","",ROUND(C263*D263/100*0.8,1))))</f>
        <v/>
      </c>
    </row>
    <row r="264">
      <c r="A264" s="4" t="n"/>
      <c r="E264" s="5">
        <f>IF(C264="","",IF(C264=0,0,IF(D264="","",ROUND(C264*D264/100*0.8,1))))</f>
        <v/>
      </c>
    </row>
    <row r="265">
      <c r="A265" s="4" t="n"/>
      <c r="E265" s="5">
        <f>IF(C265="","",IF(C265=0,0,IF(D265="","",ROUND(C265*D265/100*0.8,1))))</f>
        <v/>
      </c>
    </row>
    <row r="266">
      <c r="A266" s="4" t="n"/>
      <c r="E266" s="5">
        <f>IF(C266="","",IF(C266=0,0,IF(D266="","",ROUND(C266*D266/100*0.8,1))))</f>
        <v/>
      </c>
    </row>
    <row r="267">
      <c r="A267" s="4" t="n"/>
      <c r="E267" s="5">
        <f>IF(C267="","",IF(C267=0,0,IF(D267="","",ROUND(C267*D267/100*0.8,1))))</f>
        <v/>
      </c>
    </row>
    <row r="268">
      <c r="A268" s="4" t="n"/>
      <c r="E268" s="5">
        <f>IF(C268="","",IF(C268=0,0,IF(D268="","",ROUND(C268*D268/100*0.8,1))))</f>
        <v/>
      </c>
    </row>
    <row r="269">
      <c r="A269" s="4" t="n"/>
      <c r="E269" s="5">
        <f>IF(C269="","",IF(C269=0,0,IF(D269="","",ROUND(C269*D269/100*0.8,1))))</f>
        <v/>
      </c>
    </row>
    <row r="270">
      <c r="A270" s="4" t="n"/>
      <c r="E270" s="5">
        <f>IF(C270="","",IF(C270=0,0,IF(D270="","",ROUND(C270*D270/100*0.8,1))))</f>
        <v/>
      </c>
    </row>
    <row r="271">
      <c r="A271" s="4" t="n"/>
      <c r="E271" s="5">
        <f>IF(C271="","",IF(C271=0,0,IF(D271="","",ROUND(C271*D271/100*0.8,1))))</f>
        <v/>
      </c>
    </row>
    <row r="272">
      <c r="A272" s="4" t="n"/>
      <c r="E272" s="5">
        <f>IF(C272="","",IF(C272=0,0,IF(D272="","",ROUND(C272*D272/100*0.8,1))))</f>
        <v/>
      </c>
    </row>
    <row r="273">
      <c r="A273" s="4" t="n"/>
      <c r="E273" s="5">
        <f>IF(C273="","",IF(C273=0,0,IF(D273="","",ROUND(C273*D273/100*0.8,1))))</f>
        <v/>
      </c>
    </row>
    <row r="274">
      <c r="A274" s="4" t="n"/>
      <c r="E274" s="5">
        <f>IF(C274="","",IF(C274=0,0,IF(D274="","",ROUND(C274*D274/100*0.8,1))))</f>
        <v/>
      </c>
    </row>
    <row r="275">
      <c r="A275" s="4" t="n"/>
      <c r="E275" s="5">
        <f>IF(C275="","",IF(C275=0,0,IF(D275="","",ROUND(C275*D275/100*0.8,1))))</f>
        <v/>
      </c>
    </row>
    <row r="276">
      <c r="A276" s="4" t="n"/>
      <c r="E276" s="5">
        <f>IF(C276="","",IF(C276=0,0,IF(D276="","",ROUND(C276*D276/100*0.8,1))))</f>
        <v/>
      </c>
    </row>
    <row r="277">
      <c r="A277" s="4" t="n"/>
      <c r="E277" s="5">
        <f>IF(C277="","",IF(C277=0,0,IF(D277="","",ROUND(C277*D277/100*0.8,1))))</f>
        <v/>
      </c>
    </row>
    <row r="278">
      <c r="A278" s="4" t="n"/>
      <c r="E278" s="5">
        <f>IF(C278="","",IF(C278=0,0,IF(D278="","",ROUND(C278*D278/100*0.8,1))))</f>
        <v/>
      </c>
    </row>
    <row r="279">
      <c r="A279" s="4" t="n"/>
      <c r="E279" s="5">
        <f>IF(C279="","",IF(C279=0,0,IF(D279="","",ROUND(C279*D279/100*0.8,1))))</f>
        <v/>
      </c>
    </row>
    <row r="280">
      <c r="A280" s="4" t="n"/>
      <c r="E280" s="5">
        <f>IF(C280="","",IF(C280=0,0,IF(D280="","",ROUND(C280*D280/100*0.8,1))))</f>
        <v/>
      </c>
    </row>
    <row r="281">
      <c r="A281" s="4" t="n"/>
      <c r="E281" s="5">
        <f>IF(C281="","",IF(C281=0,0,IF(D281="","",ROUND(C281*D281/100*0.8,1))))</f>
        <v/>
      </c>
    </row>
    <row r="282">
      <c r="A282" s="4" t="n"/>
      <c r="E282" s="5">
        <f>IF(C282="","",IF(C282=0,0,IF(D282="","",ROUND(C282*D282/100*0.8,1))))</f>
        <v/>
      </c>
    </row>
    <row r="283">
      <c r="A283" s="4" t="n"/>
      <c r="E283" s="5">
        <f>IF(C283="","",IF(C283=0,0,IF(D283="","",ROUND(C283*D283/100*0.8,1))))</f>
        <v/>
      </c>
    </row>
    <row r="284">
      <c r="A284" s="4" t="n"/>
      <c r="E284" s="5">
        <f>IF(C284="","",IF(C284=0,0,IF(D284="","",ROUND(C284*D284/100*0.8,1))))</f>
        <v/>
      </c>
    </row>
    <row r="285">
      <c r="A285" s="4" t="n"/>
      <c r="E285" s="5">
        <f>IF(C285="","",IF(C285=0,0,IF(D285="","",ROUND(C285*D285/100*0.8,1))))</f>
        <v/>
      </c>
    </row>
    <row r="286">
      <c r="A286" s="4" t="n"/>
      <c r="E286" s="5">
        <f>IF(C286="","",IF(C286=0,0,IF(D286="","",ROUND(C286*D286/100*0.8,1))))</f>
        <v/>
      </c>
    </row>
    <row r="287">
      <c r="A287" s="4" t="n"/>
      <c r="E287" s="5">
        <f>IF(C287="","",IF(C287=0,0,IF(D287="","",ROUND(C287*D287/100*0.8,1))))</f>
        <v/>
      </c>
    </row>
    <row r="288">
      <c r="A288" s="4" t="n"/>
      <c r="E288" s="5">
        <f>IF(C288="","",IF(C288=0,0,IF(D288="","",ROUND(C288*D288/100*0.8,1))))</f>
        <v/>
      </c>
    </row>
    <row r="289">
      <c r="A289" s="4" t="n"/>
      <c r="E289" s="5">
        <f>IF(C289="","",IF(C289=0,0,IF(D289="","",ROUND(C289*D289/100*0.8,1))))</f>
        <v/>
      </c>
    </row>
    <row r="290">
      <c r="A290" s="4" t="n"/>
      <c r="E290" s="5">
        <f>IF(C290="","",IF(C290=0,0,IF(D290="","",ROUND(C290*D290/100*0.8,1))))</f>
        <v/>
      </c>
    </row>
    <row r="291">
      <c r="A291" s="4" t="n"/>
      <c r="E291" s="5">
        <f>IF(C291="","",IF(C291=0,0,IF(D291="","",ROUND(C291*D291/100*0.8,1))))</f>
        <v/>
      </c>
    </row>
    <row r="292">
      <c r="A292" s="4" t="n"/>
      <c r="E292" s="5">
        <f>IF(C292="","",IF(C292=0,0,IF(D292="","",ROUND(C292*D292/100*0.8,1))))</f>
        <v/>
      </c>
    </row>
    <row r="293">
      <c r="A293" s="4" t="n"/>
      <c r="E293" s="5">
        <f>IF(C293="","",IF(C293=0,0,IF(D293="","",ROUND(C293*D293/100*0.8,1))))</f>
        <v/>
      </c>
    </row>
    <row r="294">
      <c r="A294" s="4" t="n"/>
      <c r="E294" s="5">
        <f>IF(C294="","",IF(C294=0,0,IF(D294="","",ROUND(C294*D294/100*0.8,1))))</f>
        <v/>
      </c>
    </row>
    <row r="295">
      <c r="A295" s="4" t="n"/>
      <c r="E295" s="5">
        <f>IF(C295="","",IF(C295=0,0,IF(D295="","",ROUND(C295*D295/100*0.8,1))))</f>
        <v/>
      </c>
    </row>
    <row r="296">
      <c r="A296" s="4" t="n"/>
      <c r="E296" s="5">
        <f>IF(C296="","",IF(C296=0,0,IF(D296="","",ROUND(C296*D296/100*0.8,1))))</f>
        <v/>
      </c>
    </row>
    <row r="297">
      <c r="A297" s="4" t="n"/>
      <c r="E297" s="5">
        <f>IF(C297="","",IF(C297=0,0,IF(D297="","",ROUND(C297*D297/100*0.8,1))))</f>
        <v/>
      </c>
    </row>
    <row r="298">
      <c r="A298" s="4" t="n"/>
      <c r="E298" s="5">
        <f>IF(C298="","",IF(C298=0,0,IF(D298="","",ROUND(C298*D298/100*0.8,1))))</f>
        <v/>
      </c>
    </row>
    <row r="299">
      <c r="A299" s="4" t="n"/>
      <c r="E299" s="5">
        <f>IF(C299="","",IF(C299=0,0,IF(D299="","",ROUND(C299*D299/100*0.8,1))))</f>
        <v/>
      </c>
    </row>
    <row r="300">
      <c r="A300" s="4" t="n"/>
      <c r="E300" s="5">
        <f>IF(C300="","",IF(C300=0,0,IF(D300="","",ROUND(C300*D300/100*0.8,1))))</f>
        <v/>
      </c>
    </row>
    <row r="301">
      <c r="A301" s="4" t="n"/>
      <c r="E301" s="5">
        <f>IF(C301="","",IF(C301=0,0,IF(D301="","",ROUND(C301*D301/100*0.8,1))))</f>
        <v/>
      </c>
    </row>
    <row r="302">
      <c r="A302" s="4" t="n"/>
      <c r="E302" s="5">
        <f>IF(C302="","",IF(C302=0,0,IF(D302="","",ROUND(C302*D302/100*0.8,1))))</f>
        <v/>
      </c>
    </row>
    <row r="303">
      <c r="A303" s="4" t="n"/>
      <c r="E303" s="5">
        <f>IF(C303="","",IF(C303=0,0,IF(D303="","",ROUND(C303*D303/100*0.8,1))))</f>
        <v/>
      </c>
    </row>
    <row r="304">
      <c r="A304" s="4" t="n"/>
      <c r="E304" s="5">
        <f>IF(C304="","",IF(C304=0,0,IF(D304="","",ROUND(C304*D304/100*0.8,1))))</f>
        <v/>
      </c>
    </row>
    <row r="305">
      <c r="A305" s="4" t="n"/>
      <c r="E305" s="5">
        <f>IF(C305="","",IF(C305=0,0,IF(D305="","",ROUND(C305*D305/100*0.8,1))))</f>
        <v/>
      </c>
    </row>
    <row r="306">
      <c r="A306" s="4" t="n"/>
      <c r="E306" s="5">
        <f>IF(C306="","",IF(C306=0,0,IF(D306="","",ROUND(C306*D306/100*0.8,1))))</f>
        <v/>
      </c>
    </row>
    <row r="307">
      <c r="A307" s="4" t="n"/>
      <c r="E307" s="5">
        <f>IF(C307="","",IF(C307=0,0,IF(D307="","",ROUND(C307*D307/100*0.8,1))))</f>
        <v/>
      </c>
    </row>
    <row r="308">
      <c r="A308" s="4" t="n"/>
      <c r="E308" s="5">
        <f>IF(C308="","",IF(C308=0,0,IF(D308="","",ROUND(C308*D308/100*0.8,1))))</f>
        <v/>
      </c>
    </row>
    <row r="309">
      <c r="A309" s="4" t="n"/>
      <c r="E309" s="5">
        <f>IF(C309="","",IF(C309=0,0,IF(D309="","",ROUND(C309*D309/100*0.8,1))))</f>
        <v/>
      </c>
    </row>
    <row r="310">
      <c r="A310" s="4" t="n"/>
      <c r="E310" s="5">
        <f>IF(C310="","",IF(C310=0,0,IF(D310="","",ROUND(C310*D310/100*0.8,1))))</f>
        <v/>
      </c>
    </row>
    <row r="311">
      <c r="A311" s="4" t="n"/>
      <c r="E311" s="5">
        <f>IF(C311="","",IF(C311=0,0,IF(D311="","",ROUND(C311*D311/100*0.8,1))))</f>
        <v/>
      </c>
    </row>
    <row r="312">
      <c r="A312" s="4" t="n"/>
      <c r="E312" s="5">
        <f>IF(C312="","",IF(C312=0,0,IF(D312="","",ROUND(C312*D312/100*0.8,1))))</f>
        <v/>
      </c>
    </row>
    <row r="313">
      <c r="A313" s="4" t="n"/>
      <c r="E313" s="5">
        <f>IF(C313="","",IF(C313=0,0,IF(D313="","",ROUND(C313*D313/100*0.8,1))))</f>
        <v/>
      </c>
    </row>
    <row r="314">
      <c r="A314" s="4" t="n"/>
      <c r="E314" s="5">
        <f>IF(C314="","",IF(C314=0,0,IF(D314="","",ROUND(C314*D314/100*0.8,1))))</f>
        <v/>
      </c>
    </row>
    <row r="315">
      <c r="A315" s="4" t="n"/>
      <c r="E315" s="5">
        <f>IF(C315="","",IF(C315=0,0,IF(D315="","",ROUND(C315*D315/100*0.8,1))))</f>
        <v/>
      </c>
    </row>
    <row r="316">
      <c r="A316" s="4" t="n"/>
      <c r="E316" s="5">
        <f>IF(C316="","",IF(C316=0,0,IF(D316="","",ROUND(C316*D316/100*0.8,1))))</f>
        <v/>
      </c>
    </row>
    <row r="317">
      <c r="A317" s="4" t="n"/>
      <c r="E317" s="5">
        <f>IF(C317="","",IF(C317=0,0,IF(D317="","",ROUND(C317*D317/100*0.8,1))))</f>
        <v/>
      </c>
    </row>
    <row r="318">
      <c r="A318" s="4" t="n"/>
      <c r="E318" s="5">
        <f>IF(C318="","",IF(C318=0,0,IF(D318="","",ROUND(C318*D318/100*0.8,1))))</f>
        <v/>
      </c>
    </row>
    <row r="319">
      <c r="A319" s="4" t="n"/>
      <c r="E319" s="5">
        <f>IF(C319="","",IF(C319=0,0,IF(D319="","",ROUND(C319*D319/100*0.8,1))))</f>
        <v/>
      </c>
    </row>
    <row r="320">
      <c r="A320" s="4" t="n"/>
      <c r="E320" s="5">
        <f>IF(C320="","",IF(C320=0,0,IF(D320="","",ROUND(C320*D320/100*0.8,1))))</f>
        <v/>
      </c>
    </row>
    <row r="321">
      <c r="A321" s="4" t="n"/>
      <c r="E321" s="5">
        <f>IF(C321="","",IF(C321=0,0,IF(D321="","",ROUND(C321*D321/100*0.8,1))))</f>
        <v/>
      </c>
    </row>
    <row r="322">
      <c r="A322" s="4" t="n"/>
      <c r="E322" s="5">
        <f>IF(C322="","",IF(C322=0,0,IF(D322="","",ROUND(C322*D322/100*0.8,1))))</f>
        <v/>
      </c>
    </row>
    <row r="323">
      <c r="A323" s="4" t="n"/>
      <c r="E323" s="5">
        <f>IF(C323="","",IF(C323=0,0,IF(D323="","",ROUND(C323*D323/100*0.8,1))))</f>
        <v/>
      </c>
    </row>
    <row r="324">
      <c r="A324" s="4" t="n"/>
      <c r="E324" s="5">
        <f>IF(C324="","",IF(C324=0,0,IF(D324="","",ROUND(C324*D324/100*0.8,1))))</f>
        <v/>
      </c>
    </row>
    <row r="325">
      <c r="A325" s="4" t="n"/>
      <c r="E325" s="5">
        <f>IF(C325="","",IF(C325=0,0,IF(D325="","",ROUND(C325*D325/100*0.8,1))))</f>
        <v/>
      </c>
    </row>
    <row r="326">
      <c r="A326" s="4" t="n"/>
      <c r="E326" s="5">
        <f>IF(C326="","",IF(C326=0,0,IF(D326="","",ROUND(C326*D326/100*0.8,1))))</f>
        <v/>
      </c>
    </row>
    <row r="327">
      <c r="A327" s="4" t="n"/>
      <c r="E327" s="5">
        <f>IF(C327="","",IF(C327=0,0,IF(D327="","",ROUND(C327*D327/100*0.8,1))))</f>
        <v/>
      </c>
    </row>
    <row r="328">
      <c r="A328" s="4" t="n"/>
      <c r="E328" s="5">
        <f>IF(C328="","",IF(C328=0,0,IF(D328="","",ROUND(C328*D328/100*0.8,1))))</f>
        <v/>
      </c>
    </row>
    <row r="329">
      <c r="A329" s="4" t="n"/>
      <c r="E329" s="5">
        <f>IF(C329="","",IF(C329=0,0,IF(D329="","",ROUND(C329*D329/100*0.8,1))))</f>
        <v/>
      </c>
    </row>
    <row r="330">
      <c r="A330" s="4" t="n"/>
      <c r="E330" s="5">
        <f>IF(C330="","",IF(C330=0,0,IF(D330="","",ROUND(C330*D330/100*0.8,1))))</f>
        <v/>
      </c>
    </row>
    <row r="331">
      <c r="A331" s="4" t="n"/>
      <c r="E331" s="5">
        <f>IF(C331="","",IF(C331=0,0,IF(D331="","",ROUND(C331*D331/100*0.8,1))))</f>
        <v/>
      </c>
    </row>
    <row r="332">
      <c r="A332" s="4" t="n"/>
      <c r="E332" s="5">
        <f>IF(C332="","",IF(C332=0,0,IF(D332="","",ROUND(C332*D332/100*0.8,1))))</f>
        <v/>
      </c>
    </row>
    <row r="333">
      <c r="A333" s="4" t="n"/>
      <c r="E333" s="5">
        <f>IF(C333="","",IF(C333=0,0,IF(D333="","",ROUND(C333*D333/100*0.8,1))))</f>
        <v/>
      </c>
    </row>
    <row r="334">
      <c r="A334" s="4" t="n"/>
      <c r="E334" s="5">
        <f>IF(C334="","",IF(C334=0,0,IF(D334="","",ROUND(C334*D334/100*0.8,1))))</f>
        <v/>
      </c>
    </row>
    <row r="335">
      <c r="A335" s="4" t="n"/>
      <c r="E335" s="5">
        <f>IF(C335="","",IF(C335=0,0,IF(D335="","",ROUND(C335*D335/100*0.8,1))))</f>
        <v/>
      </c>
    </row>
    <row r="336">
      <c r="A336" s="4" t="n"/>
      <c r="E336" s="5">
        <f>IF(C336="","",IF(C336=0,0,IF(D336="","",ROUND(C336*D336/100*0.8,1))))</f>
        <v/>
      </c>
    </row>
    <row r="337">
      <c r="A337" s="4" t="n"/>
      <c r="E337" s="5">
        <f>IF(C337="","",IF(C337=0,0,IF(D337="","",ROUND(C337*D337/100*0.8,1))))</f>
        <v/>
      </c>
    </row>
    <row r="338">
      <c r="A338" s="4" t="n"/>
      <c r="E338" s="5">
        <f>IF(C338="","",IF(C338=0,0,IF(D338="","",ROUND(C338*D338/100*0.8,1))))</f>
        <v/>
      </c>
    </row>
    <row r="339">
      <c r="A339" s="4" t="n"/>
      <c r="E339" s="5">
        <f>IF(C339="","",IF(C339=0,0,IF(D339="","",ROUND(C339*D339/100*0.8,1))))</f>
        <v/>
      </c>
    </row>
    <row r="340">
      <c r="A340" s="4" t="n"/>
      <c r="E340" s="5">
        <f>IF(C340="","",IF(C340=0,0,IF(D340="","",ROUND(C340*D340/100*0.8,1))))</f>
        <v/>
      </c>
    </row>
    <row r="341">
      <c r="A341" s="4" t="n"/>
      <c r="E341" s="5">
        <f>IF(C341="","",IF(C341=0,0,IF(D341="","",ROUND(C341*D341/100*0.8,1))))</f>
        <v/>
      </c>
    </row>
    <row r="342">
      <c r="A342" s="4" t="n"/>
      <c r="E342" s="5">
        <f>IF(C342="","",IF(C342=0,0,IF(D342="","",ROUND(C342*D342/100*0.8,1))))</f>
        <v/>
      </c>
    </row>
    <row r="343">
      <c r="A343" s="4" t="n"/>
      <c r="E343" s="5">
        <f>IF(C343="","",IF(C343=0,0,IF(D343="","",ROUND(C343*D343/100*0.8,1))))</f>
        <v/>
      </c>
    </row>
    <row r="344">
      <c r="A344" s="4" t="n"/>
      <c r="E344" s="5">
        <f>IF(C344="","",IF(C344=0,0,IF(D344="","",ROUND(C344*D344/100*0.8,1))))</f>
        <v/>
      </c>
    </row>
    <row r="345">
      <c r="A345" s="4" t="n"/>
      <c r="E345" s="5">
        <f>IF(C345="","",IF(C345=0,0,IF(D345="","",ROUND(C345*D345/100*0.8,1))))</f>
        <v/>
      </c>
    </row>
    <row r="346">
      <c r="A346" s="4" t="n"/>
      <c r="E346" s="5">
        <f>IF(C346="","",IF(C346=0,0,IF(D346="","",ROUND(C346*D346/100*0.8,1))))</f>
        <v/>
      </c>
    </row>
    <row r="347">
      <c r="A347" s="4" t="n"/>
      <c r="E347" s="5">
        <f>IF(C347="","",IF(C347=0,0,IF(D347="","",ROUND(C347*D347/100*0.8,1))))</f>
        <v/>
      </c>
    </row>
    <row r="348">
      <c r="A348" s="4" t="n"/>
      <c r="E348" s="5">
        <f>IF(C348="","",IF(C348=0,0,IF(D348="","",ROUND(C348*D348/100*0.8,1))))</f>
        <v/>
      </c>
    </row>
    <row r="349">
      <c r="A349" s="4" t="n"/>
      <c r="E349" s="5">
        <f>IF(C349="","",IF(C349=0,0,IF(D349="","",ROUND(C349*D349/100*0.8,1))))</f>
        <v/>
      </c>
    </row>
    <row r="350">
      <c r="A350" s="4" t="n"/>
      <c r="E350" s="5">
        <f>IF(C350="","",IF(C350=0,0,IF(D350="","",ROUND(C350*D350/100*0.8,1))))</f>
        <v/>
      </c>
    </row>
    <row r="351">
      <c r="A351" s="4" t="n"/>
      <c r="E351" s="5">
        <f>IF(C351="","",IF(C351=0,0,IF(D351="","",ROUND(C351*D351/100*0.8,1))))</f>
        <v/>
      </c>
    </row>
    <row r="352">
      <c r="A352" s="4" t="n"/>
      <c r="E352" s="5">
        <f>IF(C352="","",IF(C352=0,0,IF(D352="","",ROUND(C352*D352/100*0.8,1))))</f>
        <v/>
      </c>
    </row>
    <row r="353">
      <c r="A353" s="4" t="n"/>
      <c r="E353" s="5">
        <f>IF(C353="","",IF(C353=0,0,IF(D353="","",ROUND(C353*D353/100*0.8,1))))</f>
        <v/>
      </c>
    </row>
    <row r="354">
      <c r="A354" s="4" t="n"/>
      <c r="E354" s="5">
        <f>IF(C354="","",IF(C354=0,0,IF(D354="","",ROUND(C354*D354/100*0.8,1))))</f>
        <v/>
      </c>
    </row>
    <row r="355">
      <c r="A355" s="4" t="n"/>
      <c r="E355" s="5">
        <f>IF(C355="","",IF(C355=0,0,IF(D355="","",ROUND(C355*D355/100*0.8,1))))</f>
        <v/>
      </c>
    </row>
    <row r="356">
      <c r="A356" s="4" t="n"/>
      <c r="E356" s="5">
        <f>IF(C356="","",IF(C356=0,0,IF(D356="","",ROUND(C356*D356/100*0.8,1))))</f>
        <v/>
      </c>
    </row>
    <row r="357">
      <c r="A357" s="4" t="n"/>
      <c r="E357" s="5">
        <f>IF(C357="","",IF(C357=0,0,IF(D357="","",ROUND(C357*D357/100*0.8,1))))</f>
        <v/>
      </c>
    </row>
    <row r="358">
      <c r="A358" s="4" t="n"/>
      <c r="E358" s="5">
        <f>IF(C358="","",IF(C358=0,0,IF(D358="","",ROUND(C358*D358/100*0.8,1))))</f>
        <v/>
      </c>
    </row>
    <row r="359">
      <c r="A359" s="4" t="n"/>
      <c r="E359" s="5">
        <f>IF(C359="","",IF(C359=0,0,IF(D359="","",ROUND(C359*D359/100*0.8,1))))</f>
        <v/>
      </c>
    </row>
    <row r="360">
      <c r="A360" s="4" t="n"/>
      <c r="E360" s="5">
        <f>IF(C360="","",IF(C360=0,0,IF(D360="","",ROUND(C360*D360/100*0.8,1))))</f>
        <v/>
      </c>
    </row>
    <row r="361">
      <c r="A361" s="4" t="n"/>
      <c r="E361" s="5">
        <f>IF(C361="","",IF(C361=0,0,IF(D361="","",ROUND(C361*D361/100*0.8,1))))</f>
        <v/>
      </c>
    </row>
    <row r="362">
      <c r="A362" s="4" t="n"/>
      <c r="E362" s="5">
        <f>IF(C362="","",IF(C362=0,0,IF(D362="","",ROUND(C362*D362/100*0.8,1))))</f>
        <v/>
      </c>
    </row>
    <row r="363">
      <c r="A363" s="4" t="n"/>
      <c r="E363" s="5">
        <f>IF(C363="","",IF(C363=0,0,IF(D363="","",ROUND(C363*D363/100*0.8,1))))</f>
        <v/>
      </c>
    </row>
    <row r="364">
      <c r="A364" s="4" t="n"/>
      <c r="E364" s="5">
        <f>IF(C364="","",IF(C364=0,0,IF(D364="","",ROUND(C364*D364/100*0.8,1))))</f>
        <v/>
      </c>
    </row>
    <row r="365">
      <c r="A365" s="4" t="n"/>
      <c r="E365" s="5">
        <f>IF(C365="","",IF(C365=0,0,IF(D365="","",ROUND(C365*D365/100*0.8,1))))</f>
        <v/>
      </c>
    </row>
    <row r="366">
      <c r="A366" s="4" t="n"/>
      <c r="E366" s="5">
        <f>IF(C366="","",IF(C366=0,0,IF(D366="","",ROUND(C366*D366/100*0.8,1))))</f>
        <v/>
      </c>
    </row>
    <row r="367">
      <c r="A367" s="4" t="n"/>
      <c r="E367" s="5">
        <f>IF(C367="","",IF(C367=0,0,IF(D367="","",ROUND(C367*D367/100*0.8,1))))</f>
        <v/>
      </c>
    </row>
    <row r="368">
      <c r="A368" s="4" t="n"/>
      <c r="E368" s="5">
        <f>IF(C368="","",IF(C368=0,0,IF(D368="","",ROUND(C368*D368/100*0.8,1))))</f>
        <v/>
      </c>
    </row>
    <row r="369">
      <c r="A369" s="4" t="n"/>
      <c r="E369" s="5">
        <f>IF(C369="","",IF(C369=0,0,IF(D369="","",ROUND(C369*D369/100*0.8,1))))</f>
        <v/>
      </c>
    </row>
    <row r="370">
      <c r="A370" s="4" t="n"/>
      <c r="E370" s="5">
        <f>IF(C370="","",IF(C370=0,0,IF(D370="","",ROUND(C370*D370/100*0.8,1))))</f>
        <v/>
      </c>
    </row>
    <row r="371">
      <c r="A371" s="4" t="n"/>
      <c r="E371" s="5">
        <f>IF(C371="","",IF(C371=0,0,IF(D371="","",ROUND(C371*D371/100*0.8,1))))</f>
        <v/>
      </c>
    </row>
    <row r="372">
      <c r="A372" s="4" t="n"/>
      <c r="E372" s="5">
        <f>IF(C372="","",IF(C372=0,0,IF(D372="","",ROUND(C372*D372/100*0.8,1))))</f>
        <v/>
      </c>
    </row>
    <row r="373">
      <c r="A373" s="4" t="n"/>
      <c r="E373" s="5">
        <f>IF(C373="","",IF(C373=0,0,IF(D373="","",ROUND(C373*D373/100*0.8,1))))</f>
        <v/>
      </c>
    </row>
    <row r="374">
      <c r="A374" s="4" t="n"/>
      <c r="E374" s="5">
        <f>IF(C374="","",IF(C374=0,0,IF(D374="","",ROUND(C374*D374/100*0.8,1))))</f>
        <v/>
      </c>
    </row>
    <row r="375">
      <c r="A375" s="4" t="n"/>
      <c r="E375" s="5">
        <f>IF(C375="","",IF(C375=0,0,IF(D375="","",ROUND(C375*D375/100*0.8,1))))</f>
        <v/>
      </c>
    </row>
    <row r="376">
      <c r="A376" s="4" t="n"/>
      <c r="E376" s="5">
        <f>IF(C376="","",IF(C376=0,0,IF(D376="","",ROUND(C376*D376/100*0.8,1))))</f>
        <v/>
      </c>
    </row>
    <row r="377">
      <c r="A377" s="4" t="n"/>
      <c r="E377" s="5">
        <f>IF(C377="","",IF(C377=0,0,IF(D377="","",ROUND(C377*D377/100*0.8,1))))</f>
        <v/>
      </c>
    </row>
    <row r="378">
      <c r="A378" s="4" t="n"/>
      <c r="E378" s="5">
        <f>IF(C378="","",IF(C378=0,0,IF(D378="","",ROUND(C378*D378/100*0.8,1))))</f>
        <v/>
      </c>
    </row>
    <row r="379">
      <c r="A379" s="4" t="n"/>
      <c r="E379" s="5">
        <f>IF(C379="","",IF(C379=0,0,IF(D379="","",ROUND(C379*D379/100*0.8,1))))</f>
        <v/>
      </c>
    </row>
    <row r="380">
      <c r="A380" s="4" t="n"/>
      <c r="E380" s="5">
        <f>IF(C380="","",IF(C380=0,0,IF(D380="","",ROUND(C380*D380/100*0.8,1))))</f>
        <v/>
      </c>
    </row>
    <row r="381">
      <c r="A381" s="4" t="n"/>
      <c r="E381" s="5">
        <f>IF(C381="","",IF(C381=0,0,IF(D381="","",ROUND(C381*D381/100*0.8,1))))</f>
        <v/>
      </c>
    </row>
    <row r="382">
      <c r="A382" s="4" t="n"/>
      <c r="E382" s="5">
        <f>IF(C382="","",IF(C382=0,0,IF(D382="","",ROUND(C382*D382/100*0.8,1))))</f>
        <v/>
      </c>
    </row>
    <row r="383">
      <c r="A383" s="4" t="n"/>
      <c r="E383" s="5">
        <f>IF(C383="","",IF(C383=0,0,IF(D383="","",ROUND(C383*D383/100*0.8,1))))</f>
        <v/>
      </c>
    </row>
    <row r="384">
      <c r="A384" s="4" t="n"/>
      <c r="E384" s="5">
        <f>IF(C384="","",IF(C384=0,0,IF(D384="","",ROUND(C384*D384/100*0.8,1))))</f>
        <v/>
      </c>
    </row>
    <row r="385">
      <c r="A385" s="4" t="n"/>
      <c r="E385" s="5">
        <f>IF(C385="","",IF(C385=0,0,IF(D385="","",ROUND(C385*D385/100*0.8,1))))</f>
        <v/>
      </c>
    </row>
    <row r="386">
      <c r="A386" s="4" t="n"/>
      <c r="E386" s="5">
        <f>IF(C386="","",IF(C386=0,0,IF(D386="","",ROUND(C386*D386/100*0.8,1))))</f>
        <v/>
      </c>
    </row>
    <row r="387">
      <c r="A387" s="4" t="n"/>
      <c r="E387" s="5">
        <f>IF(C387="","",IF(C387=0,0,IF(D387="","",ROUND(C387*D387/100*0.8,1))))</f>
        <v/>
      </c>
    </row>
    <row r="388">
      <c r="A388" s="4" t="n"/>
      <c r="E388" s="5">
        <f>IF(C388="","",IF(C388=0,0,IF(D388="","",ROUND(C388*D388/100*0.8,1))))</f>
        <v/>
      </c>
    </row>
    <row r="389">
      <c r="A389" s="4" t="n"/>
      <c r="E389" s="5">
        <f>IF(C389="","",IF(C389=0,0,IF(D389="","",ROUND(C389*D389/100*0.8,1))))</f>
        <v/>
      </c>
    </row>
    <row r="390">
      <c r="A390" s="4" t="n"/>
      <c r="E390" s="5">
        <f>IF(C390="","",IF(C390=0,0,IF(D390="","",ROUND(C390*D390/100*0.8,1))))</f>
        <v/>
      </c>
    </row>
    <row r="391">
      <c r="A391" s="4" t="n"/>
      <c r="E391" s="5">
        <f>IF(C391="","",IF(C391=0,0,IF(D391="","",ROUND(C391*D391/100*0.8,1))))</f>
        <v/>
      </c>
    </row>
    <row r="392">
      <c r="A392" s="4" t="n"/>
      <c r="E392" s="5">
        <f>IF(C392="","",IF(C392=0,0,IF(D392="","",ROUND(C392*D392/100*0.8,1))))</f>
        <v/>
      </c>
    </row>
    <row r="393">
      <c r="A393" s="4" t="n"/>
      <c r="E393" s="5">
        <f>IF(C393="","",IF(C393=0,0,IF(D393="","",ROUND(C393*D393/100*0.8,1))))</f>
        <v/>
      </c>
    </row>
    <row r="394">
      <c r="A394" s="4" t="n"/>
      <c r="E394" s="5">
        <f>IF(C394="","",IF(C394=0,0,IF(D394="","",ROUND(C394*D394/100*0.8,1))))</f>
        <v/>
      </c>
    </row>
    <row r="395">
      <c r="A395" s="4" t="n"/>
      <c r="E395" s="5">
        <f>IF(C395="","",IF(C395=0,0,IF(D395="","",ROUND(C395*D395/100*0.8,1))))</f>
        <v/>
      </c>
    </row>
    <row r="396">
      <c r="A396" s="4" t="n"/>
      <c r="E396" s="5">
        <f>IF(C396="","",IF(C396=0,0,IF(D396="","",ROUND(C396*D396/100*0.8,1))))</f>
        <v/>
      </c>
    </row>
    <row r="397">
      <c r="A397" s="4" t="n"/>
      <c r="E397" s="5">
        <f>IF(C397="","",IF(C397=0,0,IF(D397="","",ROUND(C397*D397/100*0.8,1))))</f>
        <v/>
      </c>
    </row>
    <row r="398">
      <c r="A398" s="4" t="n"/>
      <c r="E398" s="5">
        <f>IF(C398="","",IF(C398=0,0,IF(D398="","",ROUND(C398*D398/100*0.8,1))))</f>
        <v/>
      </c>
    </row>
    <row r="399">
      <c r="A399" s="4" t="n"/>
      <c r="E399" s="5">
        <f>IF(C399="","",IF(C399=0,0,IF(D399="","",ROUND(C399*D399/100*0.8,1))))</f>
        <v/>
      </c>
    </row>
    <row r="400">
      <c r="A400" s="4" t="n"/>
      <c r="E400" s="5">
        <f>IF(C400="","",IF(C400=0,0,IF(D400="","",ROUND(C400*D400/100*0.8,1))))</f>
        <v/>
      </c>
    </row>
    <row r="401">
      <c r="A401" s="4" t="n"/>
      <c r="E401" s="5">
        <f>IF(C401="","",IF(C401=0,0,IF(D401="","",ROUND(C401*D401/100*0.8,1))))</f>
        <v/>
      </c>
    </row>
    <row r="402">
      <c r="A402" s="4" t="n"/>
      <c r="E402" s="5">
        <f>IF(C402="","",IF(C402=0,0,IF(D402="","",ROUND(C402*D402/100*0.8,1))))</f>
        <v/>
      </c>
    </row>
    <row r="403">
      <c r="A403" s="4" t="n"/>
      <c r="E403" s="5">
        <f>IF(C403="","",IF(C403=0,0,IF(D403="","",ROUND(C403*D403/100*0.8,1))))</f>
        <v/>
      </c>
    </row>
    <row r="404">
      <c r="A404" s="4" t="n"/>
      <c r="E404" s="5">
        <f>IF(C404="","",IF(C404=0,0,IF(D404="","",ROUND(C404*D404/100*0.8,1))))</f>
        <v/>
      </c>
    </row>
  </sheetData>
  <dataValidations count="3">
    <dataValidation sqref="D5:D404" showDropDown="0" showInputMessage="0" showErrorMessage="0" allowBlank="1" type="decimal" operator="between">
      <formula1>0</formula1>
      <formula2>100</formula2>
    </dataValidation>
    <dataValidation sqref="C5:C404" showDropDown="0" showInputMessage="0" showErrorMessage="0" allowBlank="1" type="decimal" operator="greaterThanOrEqual">
      <formula1>0</formula1>
    </dataValidation>
    <dataValidation sqref="A5:A404" showDropDown="0" showInputMessage="0" showErrorMessage="0" allowBlank="1" type="date" operator="greaterThan">
      <formula1>36526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</cols>
  <sheetData>
    <row r="1">
      <c r="A1" s="1" t="inlineStr">
        <is>
          <t>Drinking diary · Days</t>
        </is>
      </c>
    </row>
    <row r="2">
      <c r="A2" s="2" t="inlineStr">
        <is>
          <t>Filled in automatically, starting on the Monday of the week of your first entry.</t>
        </is>
      </c>
    </row>
    <row r="4" ht="30" customHeight="1">
      <c r="A4" s="3" t="inlineStr">
        <is>
          <t>Date</t>
        </is>
      </c>
      <c r="B4" s="3" t="inlineStr">
        <is>
          <t>Grams of alcohol</t>
        </is>
      </c>
      <c r="C4" s="3" t="inlineStr">
        <is>
          <t>Status</t>
        </is>
      </c>
    </row>
    <row r="5">
      <c r="A5" s="6">
        <f>IF(COUNT('Entries'!$A$5:$A$404)=0,"",MIN('Entries'!$A$5:$A$404)-WEEKDAY(MIN('Entries'!$A$5:$A$404),2)+1)</f>
        <v/>
      </c>
      <c r="B5" s="5">
        <f>IF(A5="","",SUMIFS('Entries'!$E$5:$E$404,'Entries'!$A$5:$A$404,A5))</f>
        <v/>
      </c>
      <c r="C5" s="7">
        <f>IF(A5="","",IF(COUNTIFS('Entries'!$A$5:$A$404,A5)=0,"not logged",IF(B5=0,"sober","drank")))</f>
        <v/>
      </c>
    </row>
    <row r="6">
      <c r="A6" s="6">
        <f>IF(A5="","",A5+1)</f>
        <v/>
      </c>
      <c r="B6" s="5">
        <f>IF(A6="","",SUMIFS('Entries'!$E$5:$E$404,'Entries'!$A$5:$A$404,A6))</f>
        <v/>
      </c>
      <c r="C6" s="7">
        <f>IF(A6="","",IF(COUNTIFS('Entries'!$A$5:$A$404,A6)=0,"not logged",IF(B6=0,"sober","drank")))</f>
        <v/>
      </c>
    </row>
    <row r="7">
      <c r="A7" s="6">
        <f>IF(A6="","",A6+1)</f>
        <v/>
      </c>
      <c r="B7" s="5">
        <f>IF(A7="","",SUMIFS('Entries'!$E$5:$E$404,'Entries'!$A$5:$A$404,A7))</f>
        <v/>
      </c>
      <c r="C7" s="7">
        <f>IF(A7="","",IF(COUNTIFS('Entries'!$A$5:$A$404,A7)=0,"not logged",IF(B7=0,"sober","drank")))</f>
        <v/>
      </c>
    </row>
    <row r="8">
      <c r="A8" s="6">
        <f>IF(A7="","",A7+1)</f>
        <v/>
      </c>
      <c r="B8" s="5">
        <f>IF(A8="","",SUMIFS('Entries'!$E$5:$E$404,'Entries'!$A$5:$A$404,A8))</f>
        <v/>
      </c>
      <c r="C8" s="7">
        <f>IF(A8="","",IF(COUNTIFS('Entries'!$A$5:$A$404,A8)=0,"not logged",IF(B8=0,"sober","drank")))</f>
        <v/>
      </c>
    </row>
    <row r="9">
      <c r="A9" s="6">
        <f>IF(A8="","",A8+1)</f>
        <v/>
      </c>
      <c r="B9" s="5">
        <f>IF(A9="","",SUMIFS('Entries'!$E$5:$E$404,'Entries'!$A$5:$A$404,A9))</f>
        <v/>
      </c>
      <c r="C9" s="7">
        <f>IF(A9="","",IF(COUNTIFS('Entries'!$A$5:$A$404,A9)=0,"not logged",IF(B9=0,"sober","drank")))</f>
        <v/>
      </c>
    </row>
    <row r="10">
      <c r="A10" s="6">
        <f>IF(A9="","",A9+1)</f>
        <v/>
      </c>
      <c r="B10" s="5">
        <f>IF(A10="","",SUMIFS('Entries'!$E$5:$E$404,'Entries'!$A$5:$A$404,A10))</f>
        <v/>
      </c>
      <c r="C10" s="7">
        <f>IF(A10="","",IF(COUNTIFS('Entries'!$A$5:$A$404,A10)=0,"not logged",IF(B10=0,"sober","drank")))</f>
        <v/>
      </c>
    </row>
    <row r="11">
      <c r="A11" s="6">
        <f>IF(A10="","",A10+1)</f>
        <v/>
      </c>
      <c r="B11" s="5">
        <f>IF(A11="","",SUMIFS('Entries'!$E$5:$E$404,'Entries'!$A$5:$A$404,A11))</f>
        <v/>
      </c>
      <c r="C11" s="7">
        <f>IF(A11="","",IF(COUNTIFS('Entries'!$A$5:$A$404,A11)=0,"not logged",IF(B11=0,"sober","drank")))</f>
        <v/>
      </c>
    </row>
    <row r="12">
      <c r="A12" s="6">
        <f>IF(A11="","",A11+1)</f>
        <v/>
      </c>
      <c r="B12" s="5">
        <f>IF(A12="","",SUMIFS('Entries'!$E$5:$E$404,'Entries'!$A$5:$A$404,A12))</f>
        <v/>
      </c>
      <c r="C12" s="7">
        <f>IF(A12="","",IF(COUNTIFS('Entries'!$A$5:$A$404,A12)=0,"not logged",IF(B12=0,"sober","drank")))</f>
        <v/>
      </c>
    </row>
    <row r="13">
      <c r="A13" s="6">
        <f>IF(A12="","",A12+1)</f>
        <v/>
      </c>
      <c r="B13" s="5">
        <f>IF(A13="","",SUMIFS('Entries'!$E$5:$E$404,'Entries'!$A$5:$A$404,A13))</f>
        <v/>
      </c>
      <c r="C13" s="7">
        <f>IF(A13="","",IF(COUNTIFS('Entries'!$A$5:$A$404,A13)=0,"not logged",IF(B13=0,"sober","drank")))</f>
        <v/>
      </c>
    </row>
    <row r="14">
      <c r="A14" s="6">
        <f>IF(A13="","",A13+1)</f>
        <v/>
      </c>
      <c r="B14" s="5">
        <f>IF(A14="","",SUMIFS('Entries'!$E$5:$E$404,'Entries'!$A$5:$A$404,A14))</f>
        <v/>
      </c>
      <c r="C14" s="7">
        <f>IF(A14="","",IF(COUNTIFS('Entries'!$A$5:$A$404,A14)=0,"not logged",IF(B14=0,"sober","drank")))</f>
        <v/>
      </c>
    </row>
    <row r="15">
      <c r="A15" s="6">
        <f>IF(A14="","",A14+1)</f>
        <v/>
      </c>
      <c r="B15" s="5">
        <f>IF(A15="","",SUMIFS('Entries'!$E$5:$E$404,'Entries'!$A$5:$A$404,A15))</f>
        <v/>
      </c>
      <c r="C15" s="7">
        <f>IF(A15="","",IF(COUNTIFS('Entries'!$A$5:$A$404,A15)=0,"not logged",IF(B15=0,"sober","drank")))</f>
        <v/>
      </c>
    </row>
    <row r="16">
      <c r="A16" s="6">
        <f>IF(A15="","",A15+1)</f>
        <v/>
      </c>
      <c r="B16" s="5">
        <f>IF(A16="","",SUMIFS('Entries'!$E$5:$E$404,'Entries'!$A$5:$A$404,A16))</f>
        <v/>
      </c>
      <c r="C16" s="7">
        <f>IF(A16="","",IF(COUNTIFS('Entries'!$A$5:$A$404,A16)=0,"not logged",IF(B16=0,"sober","drank")))</f>
        <v/>
      </c>
    </row>
    <row r="17">
      <c r="A17" s="6">
        <f>IF(A16="","",A16+1)</f>
        <v/>
      </c>
      <c r="B17" s="5">
        <f>IF(A17="","",SUMIFS('Entries'!$E$5:$E$404,'Entries'!$A$5:$A$404,A17))</f>
        <v/>
      </c>
      <c r="C17" s="7">
        <f>IF(A17="","",IF(COUNTIFS('Entries'!$A$5:$A$404,A17)=0,"not logged",IF(B17=0,"sober","drank")))</f>
        <v/>
      </c>
    </row>
    <row r="18">
      <c r="A18" s="6">
        <f>IF(A17="","",A17+1)</f>
        <v/>
      </c>
      <c r="B18" s="5">
        <f>IF(A18="","",SUMIFS('Entries'!$E$5:$E$404,'Entries'!$A$5:$A$404,A18))</f>
        <v/>
      </c>
      <c r="C18" s="7">
        <f>IF(A18="","",IF(COUNTIFS('Entries'!$A$5:$A$404,A18)=0,"not logged",IF(B18=0,"sober","drank")))</f>
        <v/>
      </c>
    </row>
    <row r="19">
      <c r="A19" s="6">
        <f>IF(A18="","",A18+1)</f>
        <v/>
      </c>
      <c r="B19" s="5">
        <f>IF(A19="","",SUMIFS('Entries'!$E$5:$E$404,'Entries'!$A$5:$A$404,A19))</f>
        <v/>
      </c>
      <c r="C19" s="7">
        <f>IF(A19="","",IF(COUNTIFS('Entries'!$A$5:$A$404,A19)=0,"not logged",IF(B19=0,"sober","drank")))</f>
        <v/>
      </c>
    </row>
    <row r="20">
      <c r="A20" s="6">
        <f>IF(A19="","",A19+1)</f>
        <v/>
      </c>
      <c r="B20" s="5">
        <f>IF(A20="","",SUMIFS('Entries'!$E$5:$E$404,'Entries'!$A$5:$A$404,A20))</f>
        <v/>
      </c>
      <c r="C20" s="7">
        <f>IF(A20="","",IF(COUNTIFS('Entries'!$A$5:$A$404,A20)=0,"not logged",IF(B20=0,"sober","drank")))</f>
        <v/>
      </c>
    </row>
    <row r="21">
      <c r="A21" s="6">
        <f>IF(A20="","",A20+1)</f>
        <v/>
      </c>
      <c r="B21" s="5">
        <f>IF(A21="","",SUMIFS('Entries'!$E$5:$E$404,'Entries'!$A$5:$A$404,A21))</f>
        <v/>
      </c>
      <c r="C21" s="7">
        <f>IF(A21="","",IF(COUNTIFS('Entries'!$A$5:$A$404,A21)=0,"not logged",IF(B21=0,"sober","drank")))</f>
        <v/>
      </c>
    </row>
    <row r="22">
      <c r="A22" s="6">
        <f>IF(A21="","",A21+1)</f>
        <v/>
      </c>
      <c r="B22" s="5">
        <f>IF(A22="","",SUMIFS('Entries'!$E$5:$E$404,'Entries'!$A$5:$A$404,A22))</f>
        <v/>
      </c>
      <c r="C22" s="7">
        <f>IF(A22="","",IF(COUNTIFS('Entries'!$A$5:$A$404,A22)=0,"not logged",IF(B22=0,"sober","drank")))</f>
        <v/>
      </c>
    </row>
    <row r="23">
      <c r="A23" s="6">
        <f>IF(A22="","",A22+1)</f>
        <v/>
      </c>
      <c r="B23" s="5">
        <f>IF(A23="","",SUMIFS('Entries'!$E$5:$E$404,'Entries'!$A$5:$A$404,A23))</f>
        <v/>
      </c>
      <c r="C23" s="7">
        <f>IF(A23="","",IF(COUNTIFS('Entries'!$A$5:$A$404,A23)=0,"not logged",IF(B23=0,"sober","drank")))</f>
        <v/>
      </c>
    </row>
    <row r="24">
      <c r="A24" s="6">
        <f>IF(A23="","",A23+1)</f>
        <v/>
      </c>
      <c r="B24" s="5">
        <f>IF(A24="","",SUMIFS('Entries'!$E$5:$E$404,'Entries'!$A$5:$A$404,A24))</f>
        <v/>
      </c>
      <c r="C24" s="7">
        <f>IF(A24="","",IF(COUNTIFS('Entries'!$A$5:$A$404,A24)=0,"not logged",IF(B24=0,"sober","drank")))</f>
        <v/>
      </c>
    </row>
    <row r="25">
      <c r="A25" s="6">
        <f>IF(A24="","",A24+1)</f>
        <v/>
      </c>
      <c r="B25" s="5">
        <f>IF(A25="","",SUMIFS('Entries'!$E$5:$E$404,'Entries'!$A$5:$A$404,A25))</f>
        <v/>
      </c>
      <c r="C25" s="7">
        <f>IF(A25="","",IF(COUNTIFS('Entries'!$A$5:$A$404,A25)=0,"not logged",IF(B25=0,"sober","drank")))</f>
        <v/>
      </c>
    </row>
    <row r="26">
      <c r="A26" s="6">
        <f>IF(A25="","",A25+1)</f>
        <v/>
      </c>
      <c r="B26" s="5">
        <f>IF(A26="","",SUMIFS('Entries'!$E$5:$E$404,'Entries'!$A$5:$A$404,A26))</f>
        <v/>
      </c>
      <c r="C26" s="7">
        <f>IF(A26="","",IF(COUNTIFS('Entries'!$A$5:$A$404,A26)=0,"not logged",IF(B26=0,"sober","drank")))</f>
        <v/>
      </c>
    </row>
    <row r="27">
      <c r="A27" s="6">
        <f>IF(A26="","",A26+1)</f>
        <v/>
      </c>
      <c r="B27" s="5">
        <f>IF(A27="","",SUMIFS('Entries'!$E$5:$E$404,'Entries'!$A$5:$A$404,A27))</f>
        <v/>
      </c>
      <c r="C27" s="7">
        <f>IF(A27="","",IF(COUNTIFS('Entries'!$A$5:$A$404,A27)=0,"not logged",IF(B27=0,"sober","drank")))</f>
        <v/>
      </c>
    </row>
    <row r="28">
      <c r="A28" s="6">
        <f>IF(A27="","",A27+1)</f>
        <v/>
      </c>
      <c r="B28" s="5">
        <f>IF(A28="","",SUMIFS('Entries'!$E$5:$E$404,'Entries'!$A$5:$A$404,A28))</f>
        <v/>
      </c>
      <c r="C28" s="7">
        <f>IF(A28="","",IF(COUNTIFS('Entries'!$A$5:$A$404,A28)=0,"not logged",IF(B28=0,"sober","drank")))</f>
        <v/>
      </c>
    </row>
    <row r="29">
      <c r="A29" s="6">
        <f>IF(A28="","",A28+1)</f>
        <v/>
      </c>
      <c r="B29" s="5">
        <f>IF(A29="","",SUMIFS('Entries'!$E$5:$E$404,'Entries'!$A$5:$A$404,A29))</f>
        <v/>
      </c>
      <c r="C29" s="7">
        <f>IF(A29="","",IF(COUNTIFS('Entries'!$A$5:$A$404,A29)=0,"not logged",IF(B29=0,"sober","drank")))</f>
        <v/>
      </c>
    </row>
    <row r="30">
      <c r="A30" s="6">
        <f>IF(A29="","",A29+1)</f>
        <v/>
      </c>
      <c r="B30" s="5">
        <f>IF(A30="","",SUMIFS('Entries'!$E$5:$E$404,'Entries'!$A$5:$A$404,A30))</f>
        <v/>
      </c>
      <c r="C30" s="7">
        <f>IF(A30="","",IF(COUNTIFS('Entries'!$A$5:$A$404,A30)=0,"not logged",IF(B30=0,"sober","drank")))</f>
        <v/>
      </c>
    </row>
    <row r="31">
      <c r="A31" s="6">
        <f>IF(A30="","",A30+1)</f>
        <v/>
      </c>
      <c r="B31" s="5">
        <f>IF(A31="","",SUMIFS('Entries'!$E$5:$E$404,'Entries'!$A$5:$A$404,A31))</f>
        <v/>
      </c>
      <c r="C31" s="7">
        <f>IF(A31="","",IF(COUNTIFS('Entries'!$A$5:$A$404,A31)=0,"not logged",IF(B31=0,"sober","drank")))</f>
        <v/>
      </c>
    </row>
    <row r="32">
      <c r="A32" s="6">
        <f>IF(A31="","",A31+1)</f>
        <v/>
      </c>
      <c r="B32" s="5">
        <f>IF(A32="","",SUMIFS('Entries'!$E$5:$E$404,'Entries'!$A$5:$A$404,A32))</f>
        <v/>
      </c>
      <c r="C32" s="7">
        <f>IF(A32="","",IF(COUNTIFS('Entries'!$A$5:$A$404,A32)=0,"not logged",IF(B32=0,"sober","drank")))</f>
        <v/>
      </c>
    </row>
    <row r="33">
      <c r="A33" s="6">
        <f>IF(A32="","",A32+1)</f>
        <v/>
      </c>
      <c r="B33" s="5">
        <f>IF(A33="","",SUMIFS('Entries'!$E$5:$E$404,'Entries'!$A$5:$A$404,A33))</f>
        <v/>
      </c>
      <c r="C33" s="7">
        <f>IF(A33="","",IF(COUNTIFS('Entries'!$A$5:$A$404,A33)=0,"not logged",IF(B33=0,"sober","drank")))</f>
        <v/>
      </c>
    </row>
    <row r="34">
      <c r="A34" s="6">
        <f>IF(A33="","",A33+1)</f>
        <v/>
      </c>
      <c r="B34" s="5">
        <f>IF(A34="","",SUMIFS('Entries'!$E$5:$E$404,'Entries'!$A$5:$A$404,A34))</f>
        <v/>
      </c>
      <c r="C34" s="7">
        <f>IF(A34="","",IF(COUNTIFS('Entries'!$A$5:$A$404,A34)=0,"not logged",IF(B34=0,"sober","drank")))</f>
        <v/>
      </c>
    </row>
    <row r="35">
      <c r="A35" s="6">
        <f>IF(A34="","",A34+1)</f>
        <v/>
      </c>
      <c r="B35" s="5">
        <f>IF(A35="","",SUMIFS('Entries'!$E$5:$E$404,'Entries'!$A$5:$A$404,A35))</f>
        <v/>
      </c>
      <c r="C35" s="7">
        <f>IF(A35="","",IF(COUNTIFS('Entries'!$A$5:$A$404,A35)=0,"not logged",IF(B35=0,"sober","drank")))</f>
        <v/>
      </c>
    </row>
    <row r="36">
      <c r="A36" s="6">
        <f>IF(A35="","",A35+1)</f>
        <v/>
      </c>
      <c r="B36" s="5">
        <f>IF(A36="","",SUMIFS('Entries'!$E$5:$E$404,'Entries'!$A$5:$A$404,A36))</f>
        <v/>
      </c>
      <c r="C36" s="7">
        <f>IF(A36="","",IF(COUNTIFS('Entries'!$A$5:$A$404,A36)=0,"not logged",IF(B36=0,"sober","drank")))</f>
        <v/>
      </c>
    </row>
    <row r="37">
      <c r="A37" s="6">
        <f>IF(A36="","",A36+1)</f>
        <v/>
      </c>
      <c r="B37" s="5">
        <f>IF(A37="","",SUMIFS('Entries'!$E$5:$E$404,'Entries'!$A$5:$A$404,A37))</f>
        <v/>
      </c>
      <c r="C37" s="7">
        <f>IF(A37="","",IF(COUNTIFS('Entries'!$A$5:$A$404,A37)=0,"not logged",IF(B37=0,"sober","drank")))</f>
        <v/>
      </c>
    </row>
    <row r="38">
      <c r="A38" s="6">
        <f>IF(A37="","",A37+1)</f>
        <v/>
      </c>
      <c r="B38" s="5">
        <f>IF(A38="","",SUMIFS('Entries'!$E$5:$E$404,'Entries'!$A$5:$A$404,A38))</f>
        <v/>
      </c>
      <c r="C38" s="7">
        <f>IF(A38="","",IF(COUNTIFS('Entries'!$A$5:$A$404,A38)=0,"not logged",IF(B38=0,"sober","drank")))</f>
        <v/>
      </c>
    </row>
    <row r="39">
      <c r="A39" s="6">
        <f>IF(A38="","",A38+1)</f>
        <v/>
      </c>
      <c r="B39" s="5">
        <f>IF(A39="","",SUMIFS('Entries'!$E$5:$E$404,'Entries'!$A$5:$A$404,A39))</f>
        <v/>
      </c>
      <c r="C39" s="7">
        <f>IF(A39="","",IF(COUNTIFS('Entries'!$A$5:$A$404,A39)=0,"not logged",IF(B39=0,"sober","drank")))</f>
        <v/>
      </c>
    </row>
    <row r="40">
      <c r="A40" s="6">
        <f>IF(A39="","",A39+1)</f>
        <v/>
      </c>
      <c r="B40" s="5">
        <f>IF(A40="","",SUMIFS('Entries'!$E$5:$E$404,'Entries'!$A$5:$A$404,A40))</f>
        <v/>
      </c>
      <c r="C40" s="7">
        <f>IF(A40="","",IF(COUNTIFS('Entries'!$A$5:$A$404,A40)=0,"not logged",IF(B40=0,"sober","drank")))</f>
        <v/>
      </c>
    </row>
    <row r="41">
      <c r="A41" s="6">
        <f>IF(A40="","",A40+1)</f>
        <v/>
      </c>
      <c r="B41" s="5">
        <f>IF(A41="","",SUMIFS('Entries'!$E$5:$E$404,'Entries'!$A$5:$A$404,A41))</f>
        <v/>
      </c>
      <c r="C41" s="7">
        <f>IF(A41="","",IF(COUNTIFS('Entries'!$A$5:$A$404,A41)=0,"not logged",IF(B41=0,"sober","drank")))</f>
        <v/>
      </c>
    </row>
    <row r="42">
      <c r="A42" s="6">
        <f>IF(A41="","",A41+1)</f>
        <v/>
      </c>
      <c r="B42" s="5">
        <f>IF(A42="","",SUMIFS('Entries'!$E$5:$E$404,'Entries'!$A$5:$A$404,A42))</f>
        <v/>
      </c>
      <c r="C42" s="7">
        <f>IF(A42="","",IF(COUNTIFS('Entries'!$A$5:$A$404,A42)=0,"not logged",IF(B42=0,"sober","drank")))</f>
        <v/>
      </c>
    </row>
    <row r="43">
      <c r="A43" s="6">
        <f>IF(A42="","",A42+1)</f>
        <v/>
      </c>
      <c r="B43" s="5">
        <f>IF(A43="","",SUMIFS('Entries'!$E$5:$E$404,'Entries'!$A$5:$A$404,A43))</f>
        <v/>
      </c>
      <c r="C43" s="7">
        <f>IF(A43="","",IF(COUNTIFS('Entries'!$A$5:$A$404,A43)=0,"not logged",IF(B43=0,"sober","drank")))</f>
        <v/>
      </c>
    </row>
    <row r="44">
      <c r="A44" s="6">
        <f>IF(A43="","",A43+1)</f>
        <v/>
      </c>
      <c r="B44" s="5">
        <f>IF(A44="","",SUMIFS('Entries'!$E$5:$E$404,'Entries'!$A$5:$A$404,A44))</f>
        <v/>
      </c>
      <c r="C44" s="7">
        <f>IF(A44="","",IF(COUNTIFS('Entries'!$A$5:$A$404,A44)=0,"not logged",IF(B44=0,"sober","drank")))</f>
        <v/>
      </c>
    </row>
    <row r="45">
      <c r="A45" s="6">
        <f>IF(A44="","",A44+1)</f>
        <v/>
      </c>
      <c r="B45" s="5">
        <f>IF(A45="","",SUMIFS('Entries'!$E$5:$E$404,'Entries'!$A$5:$A$404,A45))</f>
        <v/>
      </c>
      <c r="C45" s="7">
        <f>IF(A45="","",IF(COUNTIFS('Entries'!$A$5:$A$404,A45)=0,"not logged",IF(B45=0,"sober","drank")))</f>
        <v/>
      </c>
    </row>
    <row r="46">
      <c r="A46" s="6">
        <f>IF(A45="","",A45+1)</f>
        <v/>
      </c>
      <c r="B46" s="5">
        <f>IF(A46="","",SUMIFS('Entries'!$E$5:$E$404,'Entries'!$A$5:$A$404,A46))</f>
        <v/>
      </c>
      <c r="C46" s="7">
        <f>IF(A46="","",IF(COUNTIFS('Entries'!$A$5:$A$404,A46)=0,"not logged",IF(B46=0,"sober","drank")))</f>
        <v/>
      </c>
    </row>
    <row r="47">
      <c r="A47" s="6">
        <f>IF(A46="","",A46+1)</f>
        <v/>
      </c>
      <c r="B47" s="5">
        <f>IF(A47="","",SUMIFS('Entries'!$E$5:$E$404,'Entries'!$A$5:$A$404,A47))</f>
        <v/>
      </c>
      <c r="C47" s="7">
        <f>IF(A47="","",IF(COUNTIFS('Entries'!$A$5:$A$404,A47)=0,"not logged",IF(B47=0,"sober","drank")))</f>
        <v/>
      </c>
    </row>
    <row r="48">
      <c r="A48" s="6">
        <f>IF(A47="","",A47+1)</f>
        <v/>
      </c>
      <c r="B48" s="5">
        <f>IF(A48="","",SUMIFS('Entries'!$E$5:$E$404,'Entries'!$A$5:$A$404,A48))</f>
        <v/>
      </c>
      <c r="C48" s="7">
        <f>IF(A48="","",IF(COUNTIFS('Entries'!$A$5:$A$404,A48)=0,"not logged",IF(B48=0,"sober","drank")))</f>
        <v/>
      </c>
    </row>
    <row r="49">
      <c r="A49" s="6">
        <f>IF(A48="","",A48+1)</f>
        <v/>
      </c>
      <c r="B49" s="5">
        <f>IF(A49="","",SUMIFS('Entries'!$E$5:$E$404,'Entries'!$A$5:$A$404,A49))</f>
        <v/>
      </c>
      <c r="C49" s="7">
        <f>IF(A49="","",IF(COUNTIFS('Entries'!$A$5:$A$404,A49)=0,"not logged",IF(B49=0,"sober","drank")))</f>
        <v/>
      </c>
    </row>
    <row r="50">
      <c r="A50" s="6">
        <f>IF(A49="","",A49+1)</f>
        <v/>
      </c>
      <c r="B50" s="5">
        <f>IF(A50="","",SUMIFS('Entries'!$E$5:$E$404,'Entries'!$A$5:$A$404,A50))</f>
        <v/>
      </c>
      <c r="C50" s="7">
        <f>IF(A50="","",IF(COUNTIFS('Entries'!$A$5:$A$404,A50)=0,"not logged",IF(B50=0,"sober","drank")))</f>
        <v/>
      </c>
    </row>
    <row r="51">
      <c r="A51" s="6">
        <f>IF(A50="","",A50+1)</f>
        <v/>
      </c>
      <c r="B51" s="5">
        <f>IF(A51="","",SUMIFS('Entries'!$E$5:$E$404,'Entries'!$A$5:$A$404,A51))</f>
        <v/>
      </c>
      <c r="C51" s="7">
        <f>IF(A51="","",IF(COUNTIFS('Entries'!$A$5:$A$404,A51)=0,"not logged",IF(B51=0,"sober","drank")))</f>
        <v/>
      </c>
    </row>
    <row r="52">
      <c r="A52" s="6">
        <f>IF(A51="","",A51+1)</f>
        <v/>
      </c>
      <c r="B52" s="5">
        <f>IF(A52="","",SUMIFS('Entries'!$E$5:$E$404,'Entries'!$A$5:$A$404,A52))</f>
        <v/>
      </c>
      <c r="C52" s="7">
        <f>IF(A52="","",IF(COUNTIFS('Entries'!$A$5:$A$404,A52)=0,"not logged",IF(B52=0,"sober","drank")))</f>
        <v/>
      </c>
    </row>
    <row r="53">
      <c r="A53" s="6">
        <f>IF(A52="","",A52+1)</f>
        <v/>
      </c>
      <c r="B53" s="5">
        <f>IF(A53="","",SUMIFS('Entries'!$E$5:$E$404,'Entries'!$A$5:$A$404,A53))</f>
        <v/>
      </c>
      <c r="C53" s="7">
        <f>IF(A53="","",IF(COUNTIFS('Entries'!$A$5:$A$404,A53)=0,"not logged",IF(B53=0,"sober","drank")))</f>
        <v/>
      </c>
    </row>
    <row r="54">
      <c r="A54" s="6">
        <f>IF(A53="","",A53+1)</f>
        <v/>
      </c>
      <c r="B54" s="5">
        <f>IF(A54="","",SUMIFS('Entries'!$E$5:$E$404,'Entries'!$A$5:$A$404,A54))</f>
        <v/>
      </c>
      <c r="C54" s="7">
        <f>IF(A54="","",IF(COUNTIFS('Entries'!$A$5:$A$404,A54)=0,"not logged",IF(B54=0,"sober","drank")))</f>
        <v/>
      </c>
    </row>
    <row r="55">
      <c r="A55" s="6">
        <f>IF(A54="","",A54+1)</f>
        <v/>
      </c>
      <c r="B55" s="5">
        <f>IF(A55="","",SUMIFS('Entries'!$E$5:$E$404,'Entries'!$A$5:$A$404,A55))</f>
        <v/>
      </c>
      <c r="C55" s="7">
        <f>IF(A55="","",IF(COUNTIFS('Entries'!$A$5:$A$404,A55)=0,"not logged",IF(B55=0,"sober","drank")))</f>
        <v/>
      </c>
    </row>
    <row r="56">
      <c r="A56" s="6">
        <f>IF(A55="","",A55+1)</f>
        <v/>
      </c>
      <c r="B56" s="5">
        <f>IF(A56="","",SUMIFS('Entries'!$E$5:$E$404,'Entries'!$A$5:$A$404,A56))</f>
        <v/>
      </c>
      <c r="C56" s="7">
        <f>IF(A56="","",IF(COUNTIFS('Entries'!$A$5:$A$404,A56)=0,"not logged",IF(B56=0,"sober","drank")))</f>
        <v/>
      </c>
    </row>
    <row r="57">
      <c r="A57" s="6">
        <f>IF(A56="","",A56+1)</f>
        <v/>
      </c>
      <c r="B57" s="5">
        <f>IF(A57="","",SUMIFS('Entries'!$E$5:$E$404,'Entries'!$A$5:$A$404,A57))</f>
        <v/>
      </c>
      <c r="C57" s="7">
        <f>IF(A57="","",IF(COUNTIFS('Entries'!$A$5:$A$404,A57)=0,"not logged",IF(B57=0,"sober","drank")))</f>
        <v/>
      </c>
    </row>
    <row r="58">
      <c r="A58" s="6">
        <f>IF(A57="","",A57+1)</f>
        <v/>
      </c>
      <c r="B58" s="5">
        <f>IF(A58="","",SUMIFS('Entries'!$E$5:$E$404,'Entries'!$A$5:$A$404,A58))</f>
        <v/>
      </c>
      <c r="C58" s="7">
        <f>IF(A58="","",IF(COUNTIFS('Entries'!$A$5:$A$404,A58)=0,"not logged",IF(B58=0,"sober","drank")))</f>
        <v/>
      </c>
    </row>
    <row r="59">
      <c r="A59" s="6">
        <f>IF(A58="","",A58+1)</f>
        <v/>
      </c>
      <c r="B59" s="5">
        <f>IF(A59="","",SUMIFS('Entries'!$E$5:$E$404,'Entries'!$A$5:$A$404,A59))</f>
        <v/>
      </c>
      <c r="C59" s="7">
        <f>IF(A59="","",IF(COUNTIFS('Entries'!$A$5:$A$404,A59)=0,"not logged",IF(B59=0,"sober","drank")))</f>
        <v/>
      </c>
    </row>
    <row r="60">
      <c r="A60" s="6">
        <f>IF(A59="","",A59+1)</f>
        <v/>
      </c>
      <c r="B60" s="5">
        <f>IF(A60="","",SUMIFS('Entries'!$E$5:$E$404,'Entries'!$A$5:$A$404,A60))</f>
        <v/>
      </c>
      <c r="C60" s="7">
        <f>IF(A60="","",IF(COUNTIFS('Entries'!$A$5:$A$404,A60)=0,"not logged",IF(B60=0,"sober","drank")))</f>
        <v/>
      </c>
    </row>
    <row r="61">
      <c r="A61" s="6">
        <f>IF(A60="","",A60+1)</f>
        <v/>
      </c>
      <c r="B61" s="5">
        <f>IF(A61="","",SUMIFS('Entries'!$E$5:$E$404,'Entries'!$A$5:$A$404,A61))</f>
        <v/>
      </c>
      <c r="C61" s="7">
        <f>IF(A61="","",IF(COUNTIFS('Entries'!$A$5:$A$404,A61)=0,"not logged",IF(B61=0,"sober","drank")))</f>
        <v/>
      </c>
    </row>
    <row r="62">
      <c r="A62" s="6">
        <f>IF(A61="","",A61+1)</f>
        <v/>
      </c>
      <c r="B62" s="5">
        <f>IF(A62="","",SUMIFS('Entries'!$E$5:$E$404,'Entries'!$A$5:$A$404,A62))</f>
        <v/>
      </c>
      <c r="C62" s="7">
        <f>IF(A62="","",IF(COUNTIFS('Entries'!$A$5:$A$404,A62)=0,"not logged",IF(B62=0,"sober","drank")))</f>
        <v/>
      </c>
    </row>
    <row r="63">
      <c r="A63" s="6">
        <f>IF(A62="","",A62+1)</f>
        <v/>
      </c>
      <c r="B63" s="5">
        <f>IF(A63="","",SUMIFS('Entries'!$E$5:$E$404,'Entries'!$A$5:$A$404,A63))</f>
        <v/>
      </c>
      <c r="C63" s="7">
        <f>IF(A63="","",IF(COUNTIFS('Entries'!$A$5:$A$404,A63)=0,"not logged",IF(B63=0,"sober","drank")))</f>
        <v/>
      </c>
    </row>
    <row r="64">
      <c r="A64" s="6">
        <f>IF(A63="","",A63+1)</f>
        <v/>
      </c>
      <c r="B64" s="5">
        <f>IF(A64="","",SUMIFS('Entries'!$E$5:$E$404,'Entries'!$A$5:$A$404,A64))</f>
        <v/>
      </c>
      <c r="C64" s="7">
        <f>IF(A64="","",IF(COUNTIFS('Entries'!$A$5:$A$404,A64)=0,"not logged",IF(B64=0,"sober","drank")))</f>
        <v/>
      </c>
    </row>
    <row r="65">
      <c r="A65" s="6">
        <f>IF(A64="","",A64+1)</f>
        <v/>
      </c>
      <c r="B65" s="5">
        <f>IF(A65="","",SUMIFS('Entries'!$E$5:$E$404,'Entries'!$A$5:$A$404,A65))</f>
        <v/>
      </c>
      <c r="C65" s="7">
        <f>IF(A65="","",IF(COUNTIFS('Entries'!$A$5:$A$404,A65)=0,"not logged",IF(B65=0,"sober","drank")))</f>
        <v/>
      </c>
    </row>
    <row r="66">
      <c r="A66" s="6">
        <f>IF(A65="","",A65+1)</f>
        <v/>
      </c>
      <c r="B66" s="5">
        <f>IF(A66="","",SUMIFS('Entries'!$E$5:$E$404,'Entries'!$A$5:$A$404,A66))</f>
        <v/>
      </c>
      <c r="C66" s="7">
        <f>IF(A66="","",IF(COUNTIFS('Entries'!$A$5:$A$404,A66)=0,"not logged",IF(B66=0,"sober","drank")))</f>
        <v/>
      </c>
    </row>
    <row r="67">
      <c r="A67" s="6">
        <f>IF(A66="","",A66+1)</f>
        <v/>
      </c>
      <c r="B67" s="5">
        <f>IF(A67="","",SUMIFS('Entries'!$E$5:$E$404,'Entries'!$A$5:$A$404,A67))</f>
        <v/>
      </c>
      <c r="C67" s="7">
        <f>IF(A67="","",IF(COUNTIFS('Entries'!$A$5:$A$404,A67)=0,"not logged",IF(B67=0,"sober","drank")))</f>
        <v/>
      </c>
    </row>
    <row r="68">
      <c r="A68" s="6">
        <f>IF(A67="","",A67+1)</f>
        <v/>
      </c>
      <c r="B68" s="5">
        <f>IF(A68="","",SUMIFS('Entries'!$E$5:$E$404,'Entries'!$A$5:$A$404,A68))</f>
        <v/>
      </c>
      <c r="C68" s="7">
        <f>IF(A68="","",IF(COUNTIFS('Entries'!$A$5:$A$404,A68)=0,"not logged",IF(B68=0,"sober","drank")))</f>
        <v/>
      </c>
    </row>
    <row r="69">
      <c r="A69" s="6">
        <f>IF(A68="","",A68+1)</f>
        <v/>
      </c>
      <c r="B69" s="5">
        <f>IF(A69="","",SUMIFS('Entries'!$E$5:$E$404,'Entries'!$A$5:$A$404,A69))</f>
        <v/>
      </c>
      <c r="C69" s="7">
        <f>IF(A69="","",IF(COUNTIFS('Entries'!$A$5:$A$404,A69)=0,"not logged",IF(B69=0,"sober","drank")))</f>
        <v/>
      </c>
    </row>
    <row r="70">
      <c r="A70" s="6">
        <f>IF(A69="","",A69+1)</f>
        <v/>
      </c>
      <c r="B70" s="5">
        <f>IF(A70="","",SUMIFS('Entries'!$E$5:$E$404,'Entries'!$A$5:$A$404,A70))</f>
        <v/>
      </c>
      <c r="C70" s="7">
        <f>IF(A70="","",IF(COUNTIFS('Entries'!$A$5:$A$404,A70)=0,"not logged",IF(B70=0,"sober","drank")))</f>
        <v/>
      </c>
    </row>
    <row r="71">
      <c r="A71" s="6">
        <f>IF(A70="","",A70+1)</f>
        <v/>
      </c>
      <c r="B71" s="5">
        <f>IF(A71="","",SUMIFS('Entries'!$E$5:$E$404,'Entries'!$A$5:$A$404,A71))</f>
        <v/>
      </c>
      <c r="C71" s="7">
        <f>IF(A71="","",IF(COUNTIFS('Entries'!$A$5:$A$404,A71)=0,"not logged",IF(B71=0,"sober","drank")))</f>
        <v/>
      </c>
    </row>
    <row r="72">
      <c r="A72" s="6">
        <f>IF(A71="","",A71+1)</f>
        <v/>
      </c>
      <c r="B72" s="5">
        <f>IF(A72="","",SUMIFS('Entries'!$E$5:$E$404,'Entries'!$A$5:$A$404,A72))</f>
        <v/>
      </c>
      <c r="C72" s="7">
        <f>IF(A72="","",IF(COUNTIFS('Entries'!$A$5:$A$404,A72)=0,"not logged",IF(B72=0,"sober","drank")))</f>
        <v/>
      </c>
    </row>
    <row r="73">
      <c r="A73" s="6">
        <f>IF(A72="","",A72+1)</f>
        <v/>
      </c>
      <c r="B73" s="5">
        <f>IF(A73="","",SUMIFS('Entries'!$E$5:$E$404,'Entries'!$A$5:$A$404,A73))</f>
        <v/>
      </c>
      <c r="C73" s="7">
        <f>IF(A73="","",IF(COUNTIFS('Entries'!$A$5:$A$404,A73)=0,"not logged",IF(B73=0,"sober","drank")))</f>
        <v/>
      </c>
    </row>
    <row r="74">
      <c r="A74" s="6">
        <f>IF(A73="","",A73+1)</f>
        <v/>
      </c>
      <c r="B74" s="5">
        <f>IF(A74="","",SUMIFS('Entries'!$E$5:$E$404,'Entries'!$A$5:$A$404,A74))</f>
        <v/>
      </c>
      <c r="C74" s="7">
        <f>IF(A74="","",IF(COUNTIFS('Entries'!$A$5:$A$404,A74)=0,"not logged",IF(B74=0,"sober","drank")))</f>
        <v/>
      </c>
    </row>
    <row r="75">
      <c r="A75" s="6">
        <f>IF(A74="","",A74+1)</f>
        <v/>
      </c>
      <c r="B75" s="5">
        <f>IF(A75="","",SUMIFS('Entries'!$E$5:$E$404,'Entries'!$A$5:$A$404,A75))</f>
        <v/>
      </c>
      <c r="C75" s="7">
        <f>IF(A75="","",IF(COUNTIFS('Entries'!$A$5:$A$404,A75)=0,"not logged",IF(B75=0,"sober","drank")))</f>
        <v/>
      </c>
    </row>
    <row r="76">
      <c r="A76" s="6">
        <f>IF(A75="","",A75+1)</f>
        <v/>
      </c>
      <c r="B76" s="5">
        <f>IF(A76="","",SUMIFS('Entries'!$E$5:$E$404,'Entries'!$A$5:$A$404,A76))</f>
        <v/>
      </c>
      <c r="C76" s="7">
        <f>IF(A76="","",IF(COUNTIFS('Entries'!$A$5:$A$404,A76)=0,"not logged",IF(B76=0,"sober","drank")))</f>
        <v/>
      </c>
    </row>
    <row r="77">
      <c r="A77" s="6">
        <f>IF(A76="","",A76+1)</f>
        <v/>
      </c>
      <c r="B77" s="5">
        <f>IF(A77="","",SUMIFS('Entries'!$E$5:$E$404,'Entries'!$A$5:$A$404,A77))</f>
        <v/>
      </c>
      <c r="C77" s="7">
        <f>IF(A77="","",IF(COUNTIFS('Entries'!$A$5:$A$404,A77)=0,"not logged",IF(B77=0,"sober","drank")))</f>
        <v/>
      </c>
    </row>
    <row r="78">
      <c r="A78" s="6">
        <f>IF(A77="","",A77+1)</f>
        <v/>
      </c>
      <c r="B78" s="5">
        <f>IF(A78="","",SUMIFS('Entries'!$E$5:$E$404,'Entries'!$A$5:$A$404,A78))</f>
        <v/>
      </c>
      <c r="C78" s="7">
        <f>IF(A78="","",IF(COUNTIFS('Entries'!$A$5:$A$404,A78)=0,"not logged",IF(B78=0,"sober","drank")))</f>
        <v/>
      </c>
    </row>
    <row r="79">
      <c r="A79" s="6">
        <f>IF(A78="","",A78+1)</f>
        <v/>
      </c>
      <c r="B79" s="5">
        <f>IF(A79="","",SUMIFS('Entries'!$E$5:$E$404,'Entries'!$A$5:$A$404,A79))</f>
        <v/>
      </c>
      <c r="C79" s="7">
        <f>IF(A79="","",IF(COUNTIFS('Entries'!$A$5:$A$404,A79)=0,"not logged",IF(B79=0,"sober","drank")))</f>
        <v/>
      </c>
    </row>
    <row r="80">
      <c r="A80" s="6">
        <f>IF(A79="","",A79+1)</f>
        <v/>
      </c>
      <c r="B80" s="5">
        <f>IF(A80="","",SUMIFS('Entries'!$E$5:$E$404,'Entries'!$A$5:$A$404,A80))</f>
        <v/>
      </c>
      <c r="C80" s="7">
        <f>IF(A80="","",IF(COUNTIFS('Entries'!$A$5:$A$404,A80)=0,"not logged",IF(B80=0,"sober","drank")))</f>
        <v/>
      </c>
    </row>
    <row r="81">
      <c r="A81" s="6">
        <f>IF(A80="","",A80+1)</f>
        <v/>
      </c>
      <c r="B81" s="5">
        <f>IF(A81="","",SUMIFS('Entries'!$E$5:$E$404,'Entries'!$A$5:$A$404,A81))</f>
        <v/>
      </c>
      <c r="C81" s="7">
        <f>IF(A81="","",IF(COUNTIFS('Entries'!$A$5:$A$404,A81)=0,"not logged",IF(B81=0,"sober","drank")))</f>
        <v/>
      </c>
    </row>
    <row r="82">
      <c r="A82" s="6">
        <f>IF(A81="","",A81+1)</f>
        <v/>
      </c>
      <c r="B82" s="5">
        <f>IF(A82="","",SUMIFS('Entries'!$E$5:$E$404,'Entries'!$A$5:$A$404,A82))</f>
        <v/>
      </c>
      <c r="C82" s="7">
        <f>IF(A82="","",IF(COUNTIFS('Entries'!$A$5:$A$404,A82)=0,"not logged",IF(B82=0,"sober","drank")))</f>
        <v/>
      </c>
    </row>
    <row r="83">
      <c r="A83" s="6">
        <f>IF(A82="","",A82+1)</f>
        <v/>
      </c>
      <c r="B83" s="5">
        <f>IF(A83="","",SUMIFS('Entries'!$E$5:$E$404,'Entries'!$A$5:$A$404,A83))</f>
        <v/>
      </c>
      <c r="C83" s="7">
        <f>IF(A83="","",IF(COUNTIFS('Entries'!$A$5:$A$404,A83)=0,"not logged",IF(B83=0,"sober","drank")))</f>
        <v/>
      </c>
    </row>
    <row r="84">
      <c r="A84" s="6">
        <f>IF(A83="","",A83+1)</f>
        <v/>
      </c>
      <c r="B84" s="5">
        <f>IF(A84="","",SUMIFS('Entries'!$E$5:$E$404,'Entries'!$A$5:$A$404,A84))</f>
        <v/>
      </c>
      <c r="C84" s="7">
        <f>IF(A84="","",IF(COUNTIFS('Entries'!$A$5:$A$404,A84)=0,"not logged",IF(B84=0,"sober","drank")))</f>
        <v/>
      </c>
    </row>
    <row r="85">
      <c r="A85" s="6">
        <f>IF(A84="","",A84+1)</f>
        <v/>
      </c>
      <c r="B85" s="5">
        <f>IF(A85="","",SUMIFS('Entries'!$E$5:$E$404,'Entries'!$A$5:$A$404,A85))</f>
        <v/>
      </c>
      <c r="C85" s="7">
        <f>IF(A85="","",IF(COUNTIFS('Entries'!$A$5:$A$404,A85)=0,"not logged",IF(B85=0,"sober","drank")))</f>
        <v/>
      </c>
    </row>
    <row r="86">
      <c r="A86" s="6">
        <f>IF(A85="","",A85+1)</f>
        <v/>
      </c>
      <c r="B86" s="5">
        <f>IF(A86="","",SUMIFS('Entries'!$E$5:$E$404,'Entries'!$A$5:$A$404,A86))</f>
        <v/>
      </c>
      <c r="C86" s="7">
        <f>IF(A86="","",IF(COUNTIFS('Entries'!$A$5:$A$404,A86)=0,"not logged",IF(B86=0,"sober","drank")))</f>
        <v/>
      </c>
    </row>
    <row r="87">
      <c r="A87" s="6">
        <f>IF(A86="","",A86+1)</f>
        <v/>
      </c>
      <c r="B87" s="5">
        <f>IF(A87="","",SUMIFS('Entries'!$E$5:$E$404,'Entries'!$A$5:$A$404,A87))</f>
        <v/>
      </c>
      <c r="C87" s="7">
        <f>IF(A87="","",IF(COUNTIFS('Entries'!$A$5:$A$404,A87)=0,"not logged",IF(B87=0,"sober","drank")))</f>
        <v/>
      </c>
    </row>
    <row r="88">
      <c r="A88" s="6">
        <f>IF(A87="","",A87+1)</f>
        <v/>
      </c>
      <c r="B88" s="5">
        <f>IF(A88="","",SUMIFS('Entries'!$E$5:$E$404,'Entries'!$A$5:$A$404,A88))</f>
        <v/>
      </c>
      <c r="C88" s="7">
        <f>IF(A88="","",IF(COUNTIFS('Entries'!$A$5:$A$404,A88)=0,"not logged",IF(B88=0,"sober","drank")))</f>
        <v/>
      </c>
    </row>
    <row r="89">
      <c r="A89" s="6">
        <f>IF(A88="","",A88+1)</f>
        <v/>
      </c>
      <c r="B89" s="5">
        <f>IF(A89="","",SUMIFS('Entries'!$E$5:$E$404,'Entries'!$A$5:$A$404,A89))</f>
        <v/>
      </c>
      <c r="C89" s="7">
        <f>IF(A89="","",IF(COUNTIFS('Entries'!$A$5:$A$404,A89)=0,"not logged",IF(B89=0,"sober","drank")))</f>
        <v/>
      </c>
    </row>
    <row r="90">
      <c r="A90" s="6">
        <f>IF(A89="","",A89+1)</f>
        <v/>
      </c>
      <c r="B90" s="5">
        <f>IF(A90="","",SUMIFS('Entries'!$E$5:$E$404,'Entries'!$A$5:$A$404,A90))</f>
        <v/>
      </c>
      <c r="C90" s="7">
        <f>IF(A90="","",IF(COUNTIFS('Entries'!$A$5:$A$404,A90)=0,"not logged",IF(B90=0,"sober","drank")))</f>
        <v/>
      </c>
    </row>
    <row r="91">
      <c r="A91" s="6">
        <f>IF(A90="","",A90+1)</f>
        <v/>
      </c>
      <c r="B91" s="5">
        <f>IF(A91="","",SUMIFS('Entries'!$E$5:$E$404,'Entries'!$A$5:$A$404,A91))</f>
        <v/>
      </c>
      <c r="C91" s="7">
        <f>IF(A91="","",IF(COUNTIFS('Entries'!$A$5:$A$404,A91)=0,"not logged",IF(B91=0,"sober","drank")))</f>
        <v/>
      </c>
    </row>
    <row r="92">
      <c r="A92" s="6">
        <f>IF(A91="","",A91+1)</f>
        <v/>
      </c>
      <c r="B92" s="5">
        <f>IF(A92="","",SUMIFS('Entries'!$E$5:$E$404,'Entries'!$A$5:$A$404,A92))</f>
        <v/>
      </c>
      <c r="C92" s="7">
        <f>IF(A92="","",IF(COUNTIFS('Entries'!$A$5:$A$404,A92)=0,"not logged",IF(B92=0,"sober","drank")))</f>
        <v/>
      </c>
    </row>
    <row r="93">
      <c r="A93" s="6">
        <f>IF(A92="","",A92+1)</f>
        <v/>
      </c>
      <c r="B93" s="5">
        <f>IF(A93="","",SUMIFS('Entries'!$E$5:$E$404,'Entries'!$A$5:$A$404,A93))</f>
        <v/>
      </c>
      <c r="C93" s="7">
        <f>IF(A93="","",IF(COUNTIFS('Entries'!$A$5:$A$404,A93)=0,"not logged",IF(B93=0,"sober","drank")))</f>
        <v/>
      </c>
    </row>
    <row r="94">
      <c r="A94" s="6">
        <f>IF(A93="","",A93+1)</f>
        <v/>
      </c>
      <c r="B94" s="5">
        <f>IF(A94="","",SUMIFS('Entries'!$E$5:$E$404,'Entries'!$A$5:$A$404,A94))</f>
        <v/>
      </c>
      <c r="C94" s="7">
        <f>IF(A94="","",IF(COUNTIFS('Entries'!$A$5:$A$404,A94)=0,"not logged",IF(B94=0,"sober","drank")))</f>
        <v/>
      </c>
    </row>
    <row r="95">
      <c r="A95" s="6">
        <f>IF(A94="","",A94+1)</f>
        <v/>
      </c>
      <c r="B95" s="5">
        <f>IF(A95="","",SUMIFS('Entries'!$E$5:$E$404,'Entries'!$A$5:$A$404,A95))</f>
        <v/>
      </c>
      <c r="C95" s="7">
        <f>IF(A95="","",IF(COUNTIFS('Entries'!$A$5:$A$404,A95)=0,"not logged",IF(B95=0,"sober","drank")))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5" customWidth="1" min="4" max="4"/>
    <col width="17" customWidth="1" min="5" max="5"/>
    <col width="16" customWidth="1" min="6" max="6"/>
  </cols>
  <sheetData>
    <row r="1">
      <c r="A1" s="1" t="inlineStr">
        <is>
          <t>Drinking diary · Summary</t>
        </is>
      </c>
    </row>
    <row r="2">
      <c r="A2" s="2" t="inlineStr">
        <is>
          <t>Only the yellow cell is for you to fill in; the sheet calculates everything else.</t>
        </is>
      </c>
    </row>
    <row r="3">
      <c r="A3" s="8" t="inlineStr">
        <is>
          <t>Your baseline in grams per day (optional):</t>
        </is>
      </c>
      <c r="D3" s="9" t="n"/>
    </row>
    <row r="5" ht="30" customHeight="1">
      <c r="A5" s="3" t="inlineStr">
        <is>
          <t>Week from</t>
        </is>
      </c>
      <c r="B5" s="3" t="inlineStr">
        <is>
          <t>Grams this week</t>
        </is>
      </c>
      <c r="C5" s="3" t="inlineStr">
        <is>
          <t>Grams per day</t>
        </is>
      </c>
      <c r="D5" s="3" t="inlineStr">
        <is>
          <t>Sober days</t>
        </is>
      </c>
      <c r="E5" s="3" t="inlineStr">
        <is>
          <t>Days not logged</t>
        </is>
      </c>
      <c r="F5" s="3" t="inlineStr">
        <is>
          <t>Baseline</t>
        </is>
      </c>
    </row>
    <row r="6">
      <c r="A6" s="10">
        <f>'Days'!A5</f>
        <v/>
      </c>
      <c r="B6" s="11">
        <f>IF(OR(A6="",COUNTIF('Days'!C5:C11,"not logged")=7),"",SUM('Days'!B5:B11))</f>
        <v/>
      </c>
      <c r="C6" s="5">
        <f>IF(OR(A6="",COUNTIF('Days'!C5:C11,"not logged")=7),"",B6/7)</f>
        <v/>
      </c>
      <c r="D6" s="11">
        <f>IF(OR(A6="",COUNTIF('Days'!C5:C11,"not logged")=7),"",COUNTIF('Days'!C5:C11,"sober"))</f>
        <v/>
      </c>
      <c r="E6" s="11">
        <f>IF(OR(A6="",COUNTIF('Days'!C5:C11,"not logged")=7),"",COUNTIF('Days'!C5:C11,"not logged"))</f>
        <v/>
      </c>
      <c r="F6" s="12">
        <f>IF(OR(OR(A6="",COUNTIF('Days'!C5:C11,"not logged")=7),$D$3=""),"",IF(C6&gt;$D$3,"above","within"))</f>
        <v/>
      </c>
    </row>
    <row r="7">
      <c r="A7" s="10">
        <f>'Days'!A12</f>
        <v/>
      </c>
      <c r="B7" s="11">
        <f>IF(OR(A7="",COUNTIF('Days'!C12:C18,"not logged")=7),"",SUM('Days'!B12:B18))</f>
        <v/>
      </c>
      <c r="C7" s="5">
        <f>IF(OR(A7="",COUNTIF('Days'!C12:C18,"not logged")=7),"",B7/7)</f>
        <v/>
      </c>
      <c r="D7" s="11">
        <f>IF(OR(A7="",COUNTIF('Days'!C12:C18,"not logged")=7),"",COUNTIF('Days'!C12:C18,"sober"))</f>
        <v/>
      </c>
      <c r="E7" s="11">
        <f>IF(OR(A7="",COUNTIF('Days'!C12:C18,"not logged")=7),"",COUNTIF('Days'!C12:C18,"not logged"))</f>
        <v/>
      </c>
      <c r="F7" s="12">
        <f>IF(OR(OR(A7="",COUNTIF('Days'!C12:C18,"not logged")=7),$D$3=""),"",IF(C7&gt;$D$3,"above","within"))</f>
        <v/>
      </c>
    </row>
    <row r="8">
      <c r="A8" s="10">
        <f>'Days'!A19</f>
        <v/>
      </c>
      <c r="B8" s="11">
        <f>IF(OR(A8="",COUNTIF('Days'!C19:C25,"not logged")=7),"",SUM('Days'!B19:B25))</f>
        <v/>
      </c>
      <c r="C8" s="5">
        <f>IF(OR(A8="",COUNTIF('Days'!C19:C25,"not logged")=7),"",B8/7)</f>
        <v/>
      </c>
      <c r="D8" s="11">
        <f>IF(OR(A8="",COUNTIF('Days'!C19:C25,"not logged")=7),"",COUNTIF('Days'!C19:C25,"sober"))</f>
        <v/>
      </c>
      <c r="E8" s="11">
        <f>IF(OR(A8="",COUNTIF('Days'!C19:C25,"not logged")=7),"",COUNTIF('Days'!C19:C25,"not logged"))</f>
        <v/>
      </c>
      <c r="F8" s="12">
        <f>IF(OR(OR(A8="",COUNTIF('Days'!C19:C25,"not logged")=7),$D$3=""),"",IF(C8&gt;$D$3,"above","within"))</f>
        <v/>
      </c>
    </row>
    <row r="9">
      <c r="A9" s="10">
        <f>'Days'!A26</f>
        <v/>
      </c>
      <c r="B9" s="11">
        <f>IF(OR(A9="",COUNTIF('Days'!C26:C32,"not logged")=7),"",SUM('Days'!B26:B32))</f>
        <v/>
      </c>
      <c r="C9" s="5">
        <f>IF(OR(A9="",COUNTIF('Days'!C26:C32,"not logged")=7),"",B9/7)</f>
        <v/>
      </c>
      <c r="D9" s="11">
        <f>IF(OR(A9="",COUNTIF('Days'!C26:C32,"not logged")=7),"",COUNTIF('Days'!C26:C32,"sober"))</f>
        <v/>
      </c>
      <c r="E9" s="11">
        <f>IF(OR(A9="",COUNTIF('Days'!C26:C32,"not logged")=7),"",COUNTIF('Days'!C26:C32,"not logged"))</f>
        <v/>
      </c>
      <c r="F9" s="12">
        <f>IF(OR(OR(A9="",COUNTIF('Days'!C26:C32,"not logged")=7),$D$3=""),"",IF(C9&gt;$D$3,"above","within"))</f>
        <v/>
      </c>
    </row>
    <row r="10">
      <c r="A10" s="10">
        <f>'Days'!A33</f>
        <v/>
      </c>
      <c r="B10" s="11">
        <f>IF(OR(A10="",COUNTIF('Days'!C33:C39,"not logged")=7),"",SUM('Days'!B33:B39))</f>
        <v/>
      </c>
      <c r="C10" s="5">
        <f>IF(OR(A10="",COUNTIF('Days'!C33:C39,"not logged")=7),"",B10/7)</f>
        <v/>
      </c>
      <c r="D10" s="11">
        <f>IF(OR(A10="",COUNTIF('Days'!C33:C39,"not logged")=7),"",COUNTIF('Days'!C33:C39,"sober"))</f>
        <v/>
      </c>
      <c r="E10" s="11">
        <f>IF(OR(A10="",COUNTIF('Days'!C33:C39,"not logged")=7),"",COUNTIF('Days'!C33:C39,"not logged"))</f>
        <v/>
      </c>
      <c r="F10" s="12">
        <f>IF(OR(OR(A10="",COUNTIF('Days'!C33:C39,"not logged")=7),$D$3=""),"",IF(C10&gt;$D$3,"above","within"))</f>
        <v/>
      </c>
    </row>
    <row r="11">
      <c r="A11" s="10">
        <f>'Days'!A40</f>
        <v/>
      </c>
      <c r="B11" s="11">
        <f>IF(OR(A11="",COUNTIF('Days'!C40:C46,"not logged")=7),"",SUM('Days'!B40:B46))</f>
        <v/>
      </c>
      <c r="C11" s="5">
        <f>IF(OR(A11="",COUNTIF('Days'!C40:C46,"not logged")=7),"",B11/7)</f>
        <v/>
      </c>
      <c r="D11" s="11">
        <f>IF(OR(A11="",COUNTIF('Days'!C40:C46,"not logged")=7),"",COUNTIF('Days'!C40:C46,"sober"))</f>
        <v/>
      </c>
      <c r="E11" s="11">
        <f>IF(OR(A11="",COUNTIF('Days'!C40:C46,"not logged")=7),"",COUNTIF('Days'!C40:C46,"not logged"))</f>
        <v/>
      </c>
      <c r="F11" s="12">
        <f>IF(OR(OR(A11="",COUNTIF('Days'!C40:C46,"not logged")=7),$D$3=""),"",IF(C11&gt;$D$3,"above","within"))</f>
        <v/>
      </c>
    </row>
    <row r="12">
      <c r="A12" s="10">
        <f>'Days'!A47</f>
        <v/>
      </c>
      <c r="B12" s="11">
        <f>IF(OR(A12="",COUNTIF('Days'!C47:C53,"not logged")=7),"",SUM('Days'!B47:B53))</f>
        <v/>
      </c>
      <c r="C12" s="5">
        <f>IF(OR(A12="",COUNTIF('Days'!C47:C53,"not logged")=7),"",B12/7)</f>
        <v/>
      </c>
      <c r="D12" s="11">
        <f>IF(OR(A12="",COUNTIF('Days'!C47:C53,"not logged")=7),"",COUNTIF('Days'!C47:C53,"sober"))</f>
        <v/>
      </c>
      <c r="E12" s="11">
        <f>IF(OR(A12="",COUNTIF('Days'!C47:C53,"not logged")=7),"",COUNTIF('Days'!C47:C53,"not logged"))</f>
        <v/>
      </c>
      <c r="F12" s="12">
        <f>IF(OR(OR(A12="",COUNTIF('Days'!C47:C53,"not logged")=7),$D$3=""),"",IF(C12&gt;$D$3,"above","within"))</f>
        <v/>
      </c>
    </row>
    <row r="13">
      <c r="A13" s="10">
        <f>'Days'!A54</f>
        <v/>
      </c>
      <c r="B13" s="11">
        <f>IF(OR(A13="",COUNTIF('Days'!C54:C60,"not logged")=7),"",SUM('Days'!B54:B60))</f>
        <v/>
      </c>
      <c r="C13" s="5">
        <f>IF(OR(A13="",COUNTIF('Days'!C54:C60,"not logged")=7),"",B13/7)</f>
        <v/>
      </c>
      <c r="D13" s="11">
        <f>IF(OR(A13="",COUNTIF('Days'!C54:C60,"not logged")=7),"",COUNTIF('Days'!C54:C60,"sober"))</f>
        <v/>
      </c>
      <c r="E13" s="11">
        <f>IF(OR(A13="",COUNTIF('Days'!C54:C60,"not logged")=7),"",COUNTIF('Days'!C54:C60,"not logged"))</f>
        <v/>
      </c>
      <c r="F13" s="12">
        <f>IF(OR(OR(A13="",COUNTIF('Days'!C54:C60,"not logged")=7),$D$3=""),"",IF(C13&gt;$D$3,"above","within"))</f>
        <v/>
      </c>
    </row>
    <row r="14">
      <c r="A14" s="10">
        <f>'Days'!A61</f>
        <v/>
      </c>
      <c r="B14" s="11">
        <f>IF(OR(A14="",COUNTIF('Days'!C61:C67,"not logged")=7),"",SUM('Days'!B61:B67))</f>
        <v/>
      </c>
      <c r="C14" s="5">
        <f>IF(OR(A14="",COUNTIF('Days'!C61:C67,"not logged")=7),"",B14/7)</f>
        <v/>
      </c>
      <c r="D14" s="11">
        <f>IF(OR(A14="",COUNTIF('Days'!C61:C67,"not logged")=7),"",COUNTIF('Days'!C61:C67,"sober"))</f>
        <v/>
      </c>
      <c r="E14" s="11">
        <f>IF(OR(A14="",COUNTIF('Days'!C61:C67,"not logged")=7),"",COUNTIF('Days'!C61:C67,"not logged"))</f>
        <v/>
      </c>
      <c r="F14" s="12">
        <f>IF(OR(OR(A14="",COUNTIF('Days'!C61:C67,"not logged")=7),$D$3=""),"",IF(C14&gt;$D$3,"above","within"))</f>
        <v/>
      </c>
    </row>
    <row r="15">
      <c r="A15" s="10">
        <f>'Days'!A68</f>
        <v/>
      </c>
      <c r="B15" s="11">
        <f>IF(OR(A15="",COUNTIF('Days'!C68:C74,"not logged")=7),"",SUM('Days'!B68:B74))</f>
        <v/>
      </c>
      <c r="C15" s="5">
        <f>IF(OR(A15="",COUNTIF('Days'!C68:C74,"not logged")=7),"",B15/7)</f>
        <v/>
      </c>
      <c r="D15" s="11">
        <f>IF(OR(A15="",COUNTIF('Days'!C68:C74,"not logged")=7),"",COUNTIF('Days'!C68:C74,"sober"))</f>
        <v/>
      </c>
      <c r="E15" s="11">
        <f>IF(OR(A15="",COUNTIF('Days'!C68:C74,"not logged")=7),"",COUNTIF('Days'!C68:C74,"not logged"))</f>
        <v/>
      </c>
      <c r="F15" s="12">
        <f>IF(OR(OR(A15="",COUNTIF('Days'!C68:C74,"not logged")=7),$D$3=""),"",IF(C15&gt;$D$3,"above","within"))</f>
        <v/>
      </c>
    </row>
    <row r="16">
      <c r="A16" s="10">
        <f>'Days'!A75</f>
        <v/>
      </c>
      <c r="B16" s="11">
        <f>IF(OR(A16="",COUNTIF('Days'!C75:C81,"not logged")=7),"",SUM('Days'!B75:B81))</f>
        <v/>
      </c>
      <c r="C16" s="5">
        <f>IF(OR(A16="",COUNTIF('Days'!C75:C81,"not logged")=7),"",B16/7)</f>
        <v/>
      </c>
      <c r="D16" s="11">
        <f>IF(OR(A16="",COUNTIF('Days'!C75:C81,"not logged")=7),"",COUNTIF('Days'!C75:C81,"sober"))</f>
        <v/>
      </c>
      <c r="E16" s="11">
        <f>IF(OR(A16="",COUNTIF('Days'!C75:C81,"not logged")=7),"",COUNTIF('Days'!C75:C81,"not logged"))</f>
        <v/>
      </c>
      <c r="F16" s="12">
        <f>IF(OR(OR(A16="",COUNTIF('Days'!C75:C81,"not logged")=7),$D$3=""),"",IF(C16&gt;$D$3,"above","within"))</f>
        <v/>
      </c>
    </row>
    <row r="17">
      <c r="A17" s="10">
        <f>'Days'!A82</f>
        <v/>
      </c>
      <c r="B17" s="11">
        <f>IF(OR(A17="",COUNTIF('Days'!C82:C88,"not logged")=7),"",SUM('Days'!B82:B88))</f>
        <v/>
      </c>
      <c r="C17" s="5">
        <f>IF(OR(A17="",COUNTIF('Days'!C82:C88,"not logged")=7),"",B17/7)</f>
        <v/>
      </c>
      <c r="D17" s="11">
        <f>IF(OR(A17="",COUNTIF('Days'!C82:C88,"not logged")=7),"",COUNTIF('Days'!C82:C88,"sober"))</f>
        <v/>
      </c>
      <c r="E17" s="11">
        <f>IF(OR(A17="",COUNTIF('Days'!C82:C88,"not logged")=7),"",COUNTIF('Days'!C82:C88,"not logged"))</f>
        <v/>
      </c>
      <c r="F17" s="12">
        <f>IF(OR(OR(A17="",COUNTIF('Days'!C82:C88,"not logged")=7),$D$3=""),"",IF(C17&gt;$D$3,"above","within"))</f>
        <v/>
      </c>
    </row>
    <row r="18">
      <c r="A18" s="10">
        <f>'Days'!A89</f>
        <v/>
      </c>
      <c r="B18" s="11">
        <f>IF(OR(A18="",COUNTIF('Days'!C89:C95,"not logged")=7),"",SUM('Days'!B89:B95))</f>
        <v/>
      </c>
      <c r="C18" s="5">
        <f>IF(OR(A18="",COUNTIF('Days'!C89:C95,"not logged")=7),"",B18/7)</f>
        <v/>
      </c>
      <c r="D18" s="11">
        <f>IF(OR(A18="",COUNTIF('Days'!C89:C95,"not logged")=7),"",COUNTIF('Days'!C89:C95,"sober"))</f>
        <v/>
      </c>
      <c r="E18" s="11">
        <f>IF(OR(A18="",COUNTIF('Days'!C89:C95,"not logged")=7),"",COUNTIF('Days'!C89:C95,"not logged"))</f>
        <v/>
      </c>
      <c r="F18" s="12">
        <f>IF(OR(OR(A18="",COUNTIF('Days'!C89:C95,"not logged")=7),$D$3=""),"",IF(C18&gt;$D$3,"above","within"))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3" customWidth="1" min="4" max="4"/>
    <col width="18" customWidth="1" min="5" max="5"/>
  </cols>
  <sheetData>
    <row r="1">
      <c r="A1" s="1" t="inlineStr">
        <is>
          <t>Drinking diary · Example</t>
        </is>
      </c>
    </row>
    <row r="2">
      <c r="A2" s="2" t="inlineStr">
        <is>
          <t>The example week from the article on relimie.com, to try things out. Your own entries go in the "Entries" sheet.</t>
        </is>
      </c>
    </row>
    <row r="4" ht="30" customHeight="1">
      <c r="A4" s="3" t="inlineStr">
        <is>
          <t>Day</t>
        </is>
      </c>
      <c r="B4" s="3" t="inlineStr">
        <is>
          <t>Drink</t>
        </is>
      </c>
      <c r="C4" s="3" t="inlineStr">
        <is>
          <t>Amount (ml)</t>
        </is>
      </c>
      <c r="D4" s="3" t="inlineStr">
        <is>
          <t>% ABV</t>
        </is>
      </c>
      <c r="E4" s="3" t="inlineStr">
        <is>
          <t>Grams of alcohol</t>
        </is>
      </c>
    </row>
    <row r="5">
      <c r="A5" t="inlineStr">
        <is>
          <t>Monday</t>
        </is>
      </c>
      <c r="B5" t="inlineStr">
        <is>
          <t>nothing</t>
        </is>
      </c>
      <c r="C5" t="n">
        <v>0</v>
      </c>
      <c r="D5" t="n">
        <v>0</v>
      </c>
      <c r="E5" s="13">
        <f>ROUND(C5*D5/100*0.8,1)</f>
        <v/>
      </c>
    </row>
    <row r="6">
      <c r="A6" t="inlineStr">
        <is>
          <t>Tuesday</t>
        </is>
      </c>
      <c r="B6" t="inlineStr">
        <is>
          <t>beer</t>
        </is>
      </c>
      <c r="C6" t="n">
        <v>500</v>
      </c>
      <c r="D6" t="n">
        <v>5</v>
      </c>
      <c r="E6" s="13">
        <f>ROUND(C6*D6/100*0.8,1)</f>
        <v/>
      </c>
    </row>
    <row r="7">
      <c r="A7" t="inlineStr">
        <is>
          <t>Tuesday</t>
        </is>
      </c>
      <c r="B7" t="inlineStr">
        <is>
          <t>beer</t>
        </is>
      </c>
      <c r="C7" t="n">
        <v>500</v>
      </c>
      <c r="D7" t="n">
        <v>5</v>
      </c>
      <c r="E7" s="13">
        <f>ROUND(C7*D7/100*0.8,1)</f>
        <v/>
      </c>
    </row>
    <row r="8">
      <c r="A8" t="inlineStr">
        <is>
          <t>Wednesday</t>
        </is>
      </c>
      <c r="B8" t="inlineStr">
        <is>
          <t>nothing</t>
        </is>
      </c>
      <c r="C8" t="n">
        <v>0</v>
      </c>
      <c r="D8" t="n">
        <v>0</v>
      </c>
      <c r="E8" s="13">
        <f>ROUND(C8*D8/100*0.8,1)</f>
        <v/>
      </c>
    </row>
    <row r="9">
      <c r="A9" t="inlineStr">
        <is>
          <t>Thursday</t>
        </is>
      </c>
      <c r="B9" t="inlineStr">
        <is>
          <t>wine</t>
        </is>
      </c>
      <c r="C9" t="n">
        <v>200</v>
      </c>
      <c r="D9" t="n">
        <v>12</v>
      </c>
      <c r="E9" s="13">
        <f>ROUND(C9*D9/100*0.8,1)</f>
        <v/>
      </c>
    </row>
    <row r="10">
      <c r="A10" t="inlineStr">
        <is>
          <t>Friday</t>
        </is>
      </c>
      <c r="B10" t="inlineStr">
        <is>
          <t>wine</t>
        </is>
      </c>
      <c r="C10" t="n">
        <v>200</v>
      </c>
      <c r="D10" t="n">
        <v>12</v>
      </c>
      <c r="E10" s="13">
        <f>ROUND(C10*D10/100*0.8,1)</f>
        <v/>
      </c>
    </row>
    <row r="11">
      <c r="A11" t="inlineStr">
        <is>
          <t>Friday</t>
        </is>
      </c>
      <c r="B11" t="inlineStr">
        <is>
          <t>wine</t>
        </is>
      </c>
      <c r="C11" t="n">
        <v>200</v>
      </c>
      <c r="D11" t="n">
        <v>12</v>
      </c>
      <c r="E11" s="13">
        <f>ROUND(C11*D11/100*0.8,1)</f>
        <v/>
      </c>
    </row>
    <row r="12">
      <c r="A12" t="inlineStr">
        <is>
          <t>Friday</t>
        </is>
      </c>
      <c r="B12" t="inlineStr">
        <is>
          <t>wine</t>
        </is>
      </c>
      <c r="C12" t="n">
        <v>200</v>
      </c>
      <c r="D12" t="n">
        <v>12</v>
      </c>
      <c r="E12" s="13">
        <f>ROUND(C12*D12/100*0.8,1)</f>
        <v/>
      </c>
    </row>
    <row r="13">
      <c r="A13" t="inlineStr">
        <is>
          <t>Saturday</t>
        </is>
      </c>
      <c r="B13" t="inlineStr">
        <is>
          <t>beer</t>
        </is>
      </c>
      <c r="C13" t="n">
        <v>330</v>
      </c>
      <c r="D13" t="n">
        <v>5</v>
      </c>
      <c r="E13" s="13">
        <f>ROUND(C13*D13/100*0.8,1)</f>
        <v/>
      </c>
    </row>
    <row r="14">
      <c r="A14" t="inlineStr">
        <is>
          <t>Saturday</t>
        </is>
      </c>
      <c r="B14" t="inlineStr">
        <is>
          <t>spirits</t>
        </is>
      </c>
      <c r="C14" t="n">
        <v>20</v>
      </c>
      <c r="D14" t="n">
        <v>40</v>
      </c>
      <c r="E14" s="13">
        <f>ROUND(C14*D14/100*0.8,1)</f>
        <v/>
      </c>
    </row>
    <row r="15">
      <c r="A15" t="inlineStr">
        <is>
          <t>Saturday</t>
        </is>
      </c>
      <c r="B15" t="inlineStr">
        <is>
          <t>spirits</t>
        </is>
      </c>
      <c r="C15" t="n">
        <v>20</v>
      </c>
      <c r="D15" t="n">
        <v>40</v>
      </c>
      <c r="E15" s="13">
        <f>ROUND(C15*D15/100*0.8,1)</f>
        <v/>
      </c>
    </row>
    <row r="16">
      <c r="A16" t="inlineStr">
        <is>
          <t>Sunday</t>
        </is>
      </c>
      <c r="B16" t="inlineStr">
        <is>
          <t>nothing</t>
        </is>
      </c>
      <c r="C16" t="n">
        <v>0</v>
      </c>
      <c r="D16" t="n">
        <v>0</v>
      </c>
      <c r="E16" s="13">
        <f>ROUND(C16*D16/100*0.8,1)</f>
        <v/>
      </c>
    </row>
    <row r="17">
      <c r="D17" s="8" t="inlineStr">
        <is>
          <t>Σ</t>
        </is>
      </c>
      <c r="E17" s="14">
        <f>SUM(E5:E16)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2026-10-29T15:36:07Z</dcterms:created>
  <dcterms:modified xsi:type="dcterms:W3CDTF">2026-10-29T15:36:07Z</dcterms:modified>
</cp:coreProperties>
</file>